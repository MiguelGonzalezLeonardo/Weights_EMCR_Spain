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edescolmex-my.sharepoint.com/personal/miguel_gonzalez_colmex_mx/Documents/Drive/Publicaciones___/EMCR_EVR_EM/EnglishV/"/>
    </mc:Choice>
  </mc:AlternateContent>
  <xr:revisionPtr revIDLastSave="351" documentId="8_{6F839229-5C94-43CE-AF6F-79A80B4F34BB}" xr6:coauthVersionLast="47" xr6:coauthVersionMax="47" xr10:uidLastSave="{CC12BD74-38F5-4570-BA63-9F6AC95F32DD}"/>
  <bookViews>
    <workbookView xWindow="-110" yWindow="-110" windowWidth="19420" windowHeight="11500" xr2:uid="{6A718B65-6176-4B24-A508-DD8076805FEE}"/>
  </bookViews>
  <sheets>
    <sheet name="Data_NUTS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02" i="1" l="1"/>
  <c r="J202" i="1"/>
  <c r="K202" i="1"/>
  <c r="L202" i="1"/>
  <c r="I203" i="1"/>
  <c r="J203" i="1"/>
  <c r="K203" i="1"/>
  <c r="L203" i="1"/>
  <c r="I204" i="1"/>
  <c r="J204" i="1"/>
  <c r="K204" i="1"/>
  <c r="L204" i="1"/>
  <c r="I205" i="1"/>
  <c r="J205" i="1"/>
  <c r="K205" i="1"/>
  <c r="L205" i="1"/>
  <c r="I3" i="1"/>
  <c r="J3" i="1"/>
  <c r="I4" i="1"/>
  <c r="J4" i="1"/>
  <c r="I5" i="1"/>
  <c r="J5" i="1"/>
  <c r="I6" i="1"/>
  <c r="J6" i="1"/>
  <c r="I7" i="1"/>
  <c r="J7" i="1"/>
  <c r="I8" i="1"/>
  <c r="J8" i="1"/>
  <c r="I9" i="1"/>
  <c r="J9" i="1"/>
  <c r="I10" i="1"/>
  <c r="J10" i="1"/>
  <c r="I11" i="1"/>
  <c r="J11" i="1"/>
  <c r="I12" i="1"/>
  <c r="J12" i="1"/>
  <c r="I13" i="1"/>
  <c r="J13" i="1"/>
  <c r="I14" i="1"/>
  <c r="J14" i="1"/>
  <c r="I15" i="1"/>
  <c r="J15" i="1"/>
  <c r="I16" i="1"/>
  <c r="J16" i="1"/>
  <c r="I17" i="1"/>
  <c r="J17" i="1"/>
  <c r="I18" i="1"/>
  <c r="J18" i="1"/>
  <c r="I19" i="1"/>
  <c r="J19" i="1"/>
  <c r="I20" i="1"/>
  <c r="J20" i="1"/>
  <c r="I21" i="1"/>
  <c r="J21" i="1"/>
  <c r="I22" i="1"/>
  <c r="J22" i="1"/>
  <c r="I23" i="1"/>
  <c r="J23" i="1"/>
  <c r="I24" i="1"/>
  <c r="J24" i="1"/>
  <c r="I25" i="1"/>
  <c r="J25" i="1"/>
  <c r="I26" i="1"/>
  <c r="J26" i="1"/>
  <c r="I27" i="1"/>
  <c r="J27" i="1"/>
  <c r="I28" i="1"/>
  <c r="J28" i="1"/>
  <c r="I29" i="1"/>
  <c r="J29" i="1"/>
  <c r="I30" i="1"/>
  <c r="J30" i="1"/>
  <c r="I31" i="1"/>
  <c r="J31" i="1"/>
  <c r="I32" i="1"/>
  <c r="J32" i="1"/>
  <c r="I33" i="1"/>
  <c r="J33" i="1"/>
  <c r="I34" i="1"/>
  <c r="J34" i="1"/>
  <c r="I35" i="1"/>
  <c r="J35" i="1"/>
  <c r="I36" i="1"/>
  <c r="J36" i="1"/>
  <c r="I37" i="1"/>
  <c r="J37" i="1"/>
  <c r="I38" i="1"/>
  <c r="J38" i="1"/>
  <c r="I39" i="1"/>
  <c r="J39" i="1"/>
  <c r="I40" i="1"/>
  <c r="J40" i="1"/>
  <c r="I41" i="1"/>
  <c r="J41" i="1"/>
  <c r="I42" i="1"/>
  <c r="J42" i="1"/>
  <c r="I43" i="1"/>
  <c r="J43" i="1"/>
  <c r="I44" i="1"/>
  <c r="J44" i="1"/>
  <c r="I45" i="1"/>
  <c r="J45" i="1"/>
  <c r="I46" i="1"/>
  <c r="J46" i="1"/>
  <c r="I47" i="1"/>
  <c r="J47" i="1"/>
  <c r="I48" i="1"/>
  <c r="J48" i="1"/>
  <c r="I49" i="1"/>
  <c r="J49" i="1"/>
  <c r="I50" i="1"/>
  <c r="J50" i="1"/>
  <c r="I51" i="1"/>
  <c r="J51" i="1"/>
  <c r="I52" i="1"/>
  <c r="J52" i="1"/>
  <c r="I53" i="1"/>
  <c r="J53" i="1"/>
  <c r="I54" i="1"/>
  <c r="J54" i="1"/>
  <c r="I55" i="1"/>
  <c r="J55" i="1"/>
  <c r="I56" i="1"/>
  <c r="J56" i="1"/>
  <c r="I57" i="1"/>
  <c r="J57" i="1"/>
  <c r="I58" i="1"/>
  <c r="J58" i="1"/>
  <c r="I59" i="1"/>
  <c r="J59" i="1"/>
  <c r="I60" i="1"/>
  <c r="J60" i="1"/>
  <c r="I61" i="1"/>
  <c r="J61" i="1"/>
  <c r="I62" i="1"/>
  <c r="J62" i="1"/>
  <c r="I63" i="1"/>
  <c r="J63" i="1"/>
  <c r="I64" i="1"/>
  <c r="J64" i="1"/>
  <c r="I65" i="1"/>
  <c r="J65" i="1"/>
  <c r="I66" i="1"/>
  <c r="J66" i="1"/>
  <c r="I67" i="1"/>
  <c r="J67" i="1"/>
  <c r="I68" i="1"/>
  <c r="J68" i="1"/>
  <c r="I69" i="1"/>
  <c r="J69" i="1"/>
  <c r="I70" i="1"/>
  <c r="J70" i="1"/>
  <c r="I71" i="1"/>
  <c r="J71" i="1"/>
  <c r="I72" i="1"/>
  <c r="J72" i="1"/>
  <c r="I73" i="1"/>
  <c r="J73" i="1"/>
  <c r="I74" i="1"/>
  <c r="J74" i="1"/>
  <c r="I75" i="1"/>
  <c r="J75" i="1"/>
  <c r="I76" i="1"/>
  <c r="J76" i="1"/>
  <c r="I77" i="1"/>
  <c r="J77" i="1"/>
  <c r="I78" i="1"/>
  <c r="J78" i="1"/>
  <c r="I79" i="1"/>
  <c r="J79" i="1"/>
  <c r="I80" i="1"/>
  <c r="J80" i="1"/>
  <c r="I81" i="1"/>
  <c r="J81" i="1"/>
  <c r="I82" i="1"/>
  <c r="J82" i="1"/>
  <c r="I83" i="1"/>
  <c r="J83" i="1"/>
  <c r="I84" i="1"/>
  <c r="J84" i="1"/>
  <c r="I85" i="1"/>
  <c r="J85" i="1"/>
  <c r="I86" i="1"/>
  <c r="J86" i="1"/>
  <c r="I87" i="1"/>
  <c r="J87" i="1"/>
  <c r="I88" i="1"/>
  <c r="J88" i="1"/>
  <c r="I89" i="1"/>
  <c r="J89" i="1"/>
  <c r="I90" i="1"/>
  <c r="J90" i="1"/>
  <c r="I91" i="1"/>
  <c r="J91" i="1"/>
  <c r="I92" i="1"/>
  <c r="J92" i="1"/>
  <c r="I93" i="1"/>
  <c r="J93" i="1"/>
  <c r="I94" i="1"/>
  <c r="J94" i="1"/>
  <c r="I95" i="1"/>
  <c r="J95" i="1"/>
  <c r="I96" i="1"/>
  <c r="J96" i="1"/>
  <c r="I97" i="1"/>
  <c r="J97" i="1"/>
  <c r="I98" i="1"/>
  <c r="J98" i="1"/>
  <c r="I99" i="1"/>
  <c r="J99" i="1"/>
  <c r="I100" i="1"/>
  <c r="J100" i="1"/>
  <c r="I101" i="1"/>
  <c r="J101" i="1"/>
  <c r="I102" i="1"/>
  <c r="J102" i="1"/>
  <c r="I103" i="1"/>
  <c r="J103" i="1"/>
  <c r="I104" i="1"/>
  <c r="J104" i="1"/>
  <c r="I105" i="1"/>
  <c r="J105" i="1"/>
  <c r="I106" i="1"/>
  <c r="J106" i="1"/>
  <c r="I107" i="1"/>
  <c r="J107" i="1"/>
  <c r="I108" i="1"/>
  <c r="J108" i="1"/>
  <c r="I109" i="1"/>
  <c r="J109" i="1"/>
  <c r="I110" i="1"/>
  <c r="J110" i="1"/>
  <c r="I111" i="1"/>
  <c r="J111" i="1"/>
  <c r="I112" i="1"/>
  <c r="J112" i="1"/>
  <c r="I113" i="1"/>
  <c r="J113" i="1"/>
  <c r="I114" i="1"/>
  <c r="J114" i="1"/>
  <c r="I115" i="1"/>
  <c r="J115" i="1"/>
  <c r="I116" i="1"/>
  <c r="J116" i="1"/>
  <c r="I117" i="1"/>
  <c r="J117" i="1"/>
  <c r="I118" i="1"/>
  <c r="J118" i="1"/>
  <c r="I119" i="1"/>
  <c r="J119" i="1"/>
  <c r="I120" i="1"/>
  <c r="J120" i="1"/>
  <c r="I121" i="1"/>
  <c r="J121" i="1"/>
  <c r="I122" i="1"/>
  <c r="J122" i="1"/>
  <c r="I123" i="1"/>
  <c r="J123" i="1"/>
  <c r="I124" i="1"/>
  <c r="J124" i="1"/>
  <c r="I125" i="1"/>
  <c r="J125" i="1"/>
  <c r="I126" i="1"/>
  <c r="J126" i="1"/>
  <c r="I127" i="1"/>
  <c r="J127" i="1"/>
  <c r="I128" i="1"/>
  <c r="J128" i="1"/>
  <c r="I129" i="1"/>
  <c r="J129" i="1"/>
  <c r="I130" i="1"/>
  <c r="J130" i="1"/>
  <c r="I131" i="1"/>
  <c r="J131" i="1"/>
  <c r="I132" i="1"/>
  <c r="J132" i="1"/>
  <c r="I133" i="1"/>
  <c r="J133" i="1"/>
  <c r="I134" i="1"/>
  <c r="J134" i="1"/>
  <c r="I135" i="1"/>
  <c r="J135" i="1"/>
  <c r="I136" i="1"/>
  <c r="J136" i="1"/>
  <c r="I137" i="1"/>
  <c r="J137" i="1"/>
  <c r="I138" i="1"/>
  <c r="J138" i="1"/>
  <c r="I139" i="1"/>
  <c r="J139" i="1"/>
  <c r="I140" i="1"/>
  <c r="J140" i="1"/>
  <c r="I141" i="1"/>
  <c r="J141" i="1"/>
  <c r="I142" i="1"/>
  <c r="J142" i="1"/>
  <c r="I143" i="1"/>
  <c r="J143" i="1"/>
  <c r="I144" i="1"/>
  <c r="J144" i="1"/>
  <c r="I145" i="1"/>
  <c r="J145" i="1"/>
  <c r="I146" i="1"/>
  <c r="J146" i="1"/>
  <c r="I147" i="1"/>
  <c r="J147" i="1"/>
  <c r="I148" i="1"/>
  <c r="J148" i="1"/>
  <c r="I149" i="1"/>
  <c r="J149" i="1"/>
  <c r="I150" i="1"/>
  <c r="J150" i="1"/>
  <c r="I151" i="1"/>
  <c r="J151" i="1"/>
  <c r="I152" i="1"/>
  <c r="J152" i="1"/>
  <c r="I153" i="1"/>
  <c r="J153" i="1"/>
  <c r="I154" i="1"/>
  <c r="J154" i="1"/>
  <c r="I155" i="1"/>
  <c r="J155" i="1"/>
  <c r="I156" i="1"/>
  <c r="J156" i="1"/>
  <c r="I157" i="1"/>
  <c r="J157" i="1"/>
  <c r="I158" i="1"/>
  <c r="J158" i="1"/>
  <c r="I159" i="1"/>
  <c r="J159" i="1"/>
  <c r="I160" i="1"/>
  <c r="J160" i="1"/>
  <c r="I161" i="1"/>
  <c r="J161" i="1"/>
  <c r="I162" i="1"/>
  <c r="J162" i="1"/>
  <c r="I163" i="1"/>
  <c r="J163" i="1"/>
  <c r="I164" i="1"/>
  <c r="J164" i="1"/>
  <c r="I165" i="1"/>
  <c r="J165" i="1"/>
  <c r="I166" i="1"/>
  <c r="J166" i="1"/>
  <c r="I167" i="1"/>
  <c r="J167" i="1"/>
  <c r="I168" i="1"/>
  <c r="J168" i="1"/>
  <c r="I169" i="1"/>
  <c r="J169" i="1"/>
  <c r="I170" i="1"/>
  <c r="J170" i="1"/>
  <c r="I171" i="1"/>
  <c r="J171" i="1"/>
  <c r="I172" i="1"/>
  <c r="J172" i="1"/>
  <c r="I173" i="1"/>
  <c r="J173" i="1"/>
  <c r="I174" i="1"/>
  <c r="J174" i="1"/>
  <c r="I175" i="1"/>
  <c r="J175" i="1"/>
  <c r="I176" i="1"/>
  <c r="J176" i="1"/>
  <c r="I177" i="1"/>
  <c r="J177" i="1"/>
  <c r="I178" i="1"/>
  <c r="J178" i="1"/>
  <c r="I179" i="1"/>
  <c r="J179" i="1"/>
  <c r="I180" i="1"/>
  <c r="J180" i="1"/>
  <c r="I181" i="1"/>
  <c r="J181" i="1"/>
  <c r="I182" i="1"/>
  <c r="J182" i="1"/>
  <c r="I183" i="1"/>
  <c r="J183" i="1"/>
  <c r="I184" i="1"/>
  <c r="J184" i="1"/>
  <c r="I185" i="1"/>
  <c r="J185" i="1"/>
  <c r="I186" i="1"/>
  <c r="J186" i="1"/>
  <c r="I187" i="1"/>
  <c r="J187" i="1"/>
  <c r="I188" i="1"/>
  <c r="J188" i="1"/>
  <c r="I189" i="1"/>
  <c r="J189" i="1"/>
  <c r="I190" i="1"/>
  <c r="J190" i="1"/>
  <c r="I191" i="1"/>
  <c r="J191" i="1"/>
  <c r="I192" i="1"/>
  <c r="J192" i="1"/>
  <c r="I193" i="1"/>
  <c r="J193" i="1"/>
  <c r="I194" i="1"/>
  <c r="J194" i="1"/>
  <c r="I195" i="1"/>
  <c r="J195" i="1"/>
  <c r="I196" i="1"/>
  <c r="J196" i="1"/>
  <c r="I197" i="1"/>
  <c r="J197" i="1"/>
  <c r="I198" i="1"/>
  <c r="J198" i="1"/>
  <c r="I199" i="1"/>
  <c r="J199" i="1"/>
  <c r="I200" i="1"/>
  <c r="J200" i="1"/>
  <c r="I201" i="1"/>
  <c r="J201" i="1"/>
  <c r="J2" i="1"/>
  <c r="I2" i="1"/>
  <c r="K3" i="1"/>
  <c r="L3" i="1"/>
  <c r="K4" i="1"/>
  <c r="L4" i="1"/>
  <c r="K5" i="1"/>
  <c r="L5" i="1"/>
  <c r="K6" i="1"/>
  <c r="L6" i="1"/>
  <c r="K7" i="1"/>
  <c r="L7" i="1"/>
  <c r="K8" i="1"/>
  <c r="L8" i="1"/>
  <c r="K9" i="1"/>
  <c r="L9" i="1"/>
  <c r="K10" i="1"/>
  <c r="L10" i="1"/>
  <c r="K11" i="1"/>
  <c r="L11" i="1"/>
  <c r="K12" i="1"/>
  <c r="L12" i="1"/>
  <c r="K13" i="1"/>
  <c r="L13" i="1"/>
  <c r="K14" i="1"/>
  <c r="L14" i="1"/>
  <c r="K15" i="1"/>
  <c r="L15" i="1"/>
  <c r="K16" i="1"/>
  <c r="L16" i="1"/>
  <c r="K17" i="1"/>
  <c r="L17" i="1"/>
  <c r="K18" i="1"/>
  <c r="L18" i="1"/>
  <c r="K19" i="1"/>
  <c r="L19" i="1"/>
  <c r="K20" i="1"/>
  <c r="L20" i="1"/>
  <c r="K21" i="1"/>
  <c r="L21" i="1"/>
  <c r="K22" i="1"/>
  <c r="L22" i="1"/>
  <c r="K23" i="1"/>
  <c r="L23" i="1"/>
  <c r="K24" i="1"/>
  <c r="L24" i="1"/>
  <c r="K25" i="1"/>
  <c r="L25" i="1"/>
  <c r="K26" i="1"/>
  <c r="L26" i="1"/>
  <c r="K27" i="1"/>
  <c r="L27" i="1"/>
  <c r="K28" i="1"/>
  <c r="L28" i="1"/>
  <c r="K29" i="1"/>
  <c r="L29" i="1"/>
  <c r="K30" i="1"/>
  <c r="L30" i="1"/>
  <c r="K31" i="1"/>
  <c r="L31" i="1"/>
  <c r="K32" i="1"/>
  <c r="L32" i="1"/>
  <c r="K33" i="1"/>
  <c r="L33" i="1"/>
  <c r="K34" i="1"/>
  <c r="L34" i="1"/>
  <c r="K35" i="1"/>
  <c r="L35" i="1"/>
  <c r="K36" i="1"/>
  <c r="L36" i="1"/>
  <c r="K37" i="1"/>
  <c r="L37" i="1"/>
  <c r="K38" i="1"/>
  <c r="L38" i="1"/>
  <c r="K39" i="1"/>
  <c r="L39" i="1"/>
  <c r="K40" i="1"/>
  <c r="L40" i="1"/>
  <c r="K41" i="1"/>
  <c r="L41" i="1"/>
  <c r="K42" i="1"/>
  <c r="L42" i="1"/>
  <c r="K43" i="1"/>
  <c r="L43" i="1"/>
  <c r="K44" i="1"/>
  <c r="L44" i="1"/>
  <c r="K45" i="1"/>
  <c r="L45" i="1"/>
  <c r="K46" i="1"/>
  <c r="L46" i="1"/>
  <c r="K47" i="1"/>
  <c r="L47" i="1"/>
  <c r="K48" i="1"/>
  <c r="L48" i="1"/>
  <c r="K49" i="1"/>
  <c r="L49" i="1"/>
  <c r="K50" i="1"/>
  <c r="L50" i="1"/>
  <c r="K51" i="1"/>
  <c r="L51" i="1"/>
  <c r="K52" i="1"/>
  <c r="L52" i="1"/>
  <c r="K53" i="1"/>
  <c r="L53" i="1"/>
  <c r="K54" i="1"/>
  <c r="L54" i="1"/>
  <c r="K55" i="1"/>
  <c r="L55" i="1"/>
  <c r="K56" i="1"/>
  <c r="L56" i="1"/>
  <c r="K57" i="1"/>
  <c r="L57" i="1"/>
  <c r="K58" i="1"/>
  <c r="L58" i="1"/>
  <c r="K59" i="1"/>
  <c r="L59" i="1"/>
  <c r="K60" i="1"/>
  <c r="L60" i="1"/>
  <c r="K61" i="1"/>
  <c r="L61" i="1"/>
  <c r="K62" i="1"/>
  <c r="L62" i="1"/>
  <c r="K63" i="1"/>
  <c r="L63" i="1"/>
  <c r="K64" i="1"/>
  <c r="L64" i="1"/>
  <c r="K65" i="1"/>
  <c r="L65" i="1"/>
  <c r="K66" i="1"/>
  <c r="L66" i="1"/>
  <c r="K67" i="1"/>
  <c r="L67" i="1"/>
  <c r="K68" i="1"/>
  <c r="L68" i="1"/>
  <c r="K69" i="1"/>
  <c r="L69" i="1"/>
  <c r="K70" i="1"/>
  <c r="L70" i="1"/>
  <c r="K71" i="1"/>
  <c r="L71" i="1"/>
  <c r="K72" i="1"/>
  <c r="L72" i="1"/>
  <c r="K73" i="1"/>
  <c r="L73" i="1"/>
  <c r="K74" i="1"/>
  <c r="L74" i="1"/>
  <c r="K75" i="1"/>
  <c r="L75" i="1"/>
  <c r="K76" i="1"/>
  <c r="L76" i="1"/>
  <c r="K77" i="1"/>
  <c r="L77" i="1"/>
  <c r="K78" i="1"/>
  <c r="L78" i="1"/>
  <c r="K79" i="1"/>
  <c r="L79" i="1"/>
  <c r="K80" i="1"/>
  <c r="L80" i="1"/>
  <c r="K81" i="1"/>
  <c r="L81" i="1"/>
  <c r="K82" i="1"/>
  <c r="L82" i="1"/>
  <c r="K83" i="1"/>
  <c r="L83" i="1"/>
  <c r="K84" i="1"/>
  <c r="L84" i="1"/>
  <c r="K85" i="1"/>
  <c r="L85" i="1"/>
  <c r="K86" i="1"/>
  <c r="L86" i="1"/>
  <c r="K87" i="1"/>
  <c r="L87" i="1"/>
  <c r="K88" i="1"/>
  <c r="L88" i="1"/>
  <c r="K89" i="1"/>
  <c r="L89" i="1"/>
  <c r="K90" i="1"/>
  <c r="L90" i="1"/>
  <c r="K91" i="1"/>
  <c r="L91" i="1"/>
  <c r="K92" i="1"/>
  <c r="L92" i="1"/>
  <c r="K93" i="1"/>
  <c r="L93" i="1"/>
  <c r="K94" i="1"/>
  <c r="L94" i="1"/>
  <c r="K95" i="1"/>
  <c r="L95" i="1"/>
  <c r="K96" i="1"/>
  <c r="L96" i="1"/>
  <c r="K97" i="1"/>
  <c r="L97" i="1"/>
  <c r="K98" i="1"/>
  <c r="L98" i="1"/>
  <c r="K99" i="1"/>
  <c r="L99" i="1"/>
  <c r="K100" i="1"/>
  <c r="L100" i="1"/>
  <c r="K101" i="1"/>
  <c r="L101" i="1"/>
  <c r="K102" i="1"/>
  <c r="L102" i="1"/>
  <c r="K103" i="1"/>
  <c r="L103" i="1"/>
  <c r="K104" i="1"/>
  <c r="L104" i="1"/>
  <c r="K105" i="1"/>
  <c r="L105" i="1"/>
  <c r="K106" i="1"/>
  <c r="L106" i="1"/>
  <c r="K107" i="1"/>
  <c r="L107" i="1"/>
  <c r="K108" i="1"/>
  <c r="L108" i="1"/>
  <c r="K109" i="1"/>
  <c r="L109" i="1"/>
  <c r="K110" i="1"/>
  <c r="L110" i="1"/>
  <c r="K111" i="1"/>
  <c r="L111" i="1"/>
  <c r="K112" i="1"/>
  <c r="L112" i="1"/>
  <c r="K113" i="1"/>
  <c r="L113" i="1"/>
  <c r="K114" i="1"/>
  <c r="L114" i="1"/>
  <c r="K115" i="1"/>
  <c r="L115" i="1"/>
  <c r="K116" i="1"/>
  <c r="L116" i="1"/>
  <c r="K117" i="1"/>
  <c r="L117" i="1"/>
  <c r="K118" i="1"/>
  <c r="L118" i="1"/>
  <c r="K119" i="1"/>
  <c r="L119" i="1"/>
  <c r="K120" i="1"/>
  <c r="L120" i="1"/>
  <c r="K121" i="1"/>
  <c r="L121" i="1"/>
  <c r="K122" i="1"/>
  <c r="L122" i="1"/>
  <c r="K123" i="1"/>
  <c r="L123" i="1"/>
  <c r="K124" i="1"/>
  <c r="L124" i="1"/>
  <c r="K125" i="1"/>
  <c r="L125" i="1"/>
  <c r="K126" i="1"/>
  <c r="L126" i="1"/>
  <c r="K127" i="1"/>
  <c r="L127" i="1"/>
  <c r="K128" i="1"/>
  <c r="L128" i="1"/>
  <c r="K129" i="1"/>
  <c r="L129" i="1"/>
  <c r="K130" i="1"/>
  <c r="L130" i="1"/>
  <c r="K131" i="1"/>
  <c r="L131" i="1"/>
  <c r="K132" i="1"/>
  <c r="L132" i="1"/>
  <c r="K133" i="1"/>
  <c r="L133" i="1"/>
  <c r="K134" i="1"/>
  <c r="L134" i="1"/>
  <c r="K135" i="1"/>
  <c r="L135" i="1"/>
  <c r="K136" i="1"/>
  <c r="L136" i="1"/>
  <c r="K137" i="1"/>
  <c r="L137" i="1"/>
  <c r="K138" i="1"/>
  <c r="L138" i="1"/>
  <c r="K139" i="1"/>
  <c r="L139" i="1"/>
  <c r="K140" i="1"/>
  <c r="L140" i="1"/>
  <c r="K141" i="1"/>
  <c r="L141" i="1"/>
  <c r="K142" i="1"/>
  <c r="L142" i="1"/>
  <c r="K143" i="1"/>
  <c r="L143" i="1"/>
  <c r="K144" i="1"/>
  <c r="L144" i="1"/>
  <c r="K145" i="1"/>
  <c r="L145" i="1"/>
  <c r="K146" i="1"/>
  <c r="L146" i="1"/>
  <c r="K147" i="1"/>
  <c r="L147" i="1"/>
  <c r="K148" i="1"/>
  <c r="L148" i="1"/>
  <c r="K149" i="1"/>
  <c r="L149" i="1"/>
  <c r="K150" i="1"/>
  <c r="L150" i="1"/>
  <c r="K151" i="1"/>
  <c r="L151" i="1"/>
  <c r="K152" i="1"/>
  <c r="L152" i="1"/>
  <c r="K153" i="1"/>
  <c r="L153" i="1"/>
  <c r="K154" i="1"/>
  <c r="L154" i="1"/>
  <c r="K155" i="1"/>
  <c r="L155" i="1"/>
  <c r="K156" i="1"/>
  <c r="L156" i="1"/>
  <c r="K157" i="1"/>
  <c r="L157" i="1"/>
  <c r="K158" i="1"/>
  <c r="L158" i="1"/>
  <c r="K159" i="1"/>
  <c r="L159" i="1"/>
  <c r="K160" i="1"/>
  <c r="L160" i="1"/>
  <c r="K161" i="1"/>
  <c r="L161" i="1"/>
  <c r="K162" i="1"/>
  <c r="L162" i="1"/>
  <c r="K163" i="1"/>
  <c r="L163" i="1"/>
  <c r="K164" i="1"/>
  <c r="L164" i="1"/>
  <c r="K165" i="1"/>
  <c r="L165" i="1"/>
  <c r="K166" i="1"/>
  <c r="L166" i="1"/>
  <c r="K167" i="1"/>
  <c r="L167" i="1"/>
  <c r="K168" i="1"/>
  <c r="L168" i="1"/>
  <c r="K169" i="1"/>
  <c r="L169" i="1"/>
  <c r="K170" i="1"/>
  <c r="L170" i="1"/>
  <c r="K171" i="1"/>
  <c r="L171" i="1"/>
  <c r="K172" i="1"/>
  <c r="L172" i="1"/>
  <c r="K173" i="1"/>
  <c r="L173" i="1"/>
  <c r="K174" i="1"/>
  <c r="L174" i="1"/>
  <c r="K175" i="1"/>
  <c r="L175" i="1"/>
  <c r="K176" i="1"/>
  <c r="L176" i="1"/>
  <c r="K177" i="1"/>
  <c r="L177" i="1"/>
  <c r="K178" i="1"/>
  <c r="L178" i="1"/>
  <c r="K179" i="1"/>
  <c r="L179" i="1"/>
  <c r="K180" i="1"/>
  <c r="L180" i="1"/>
  <c r="K181" i="1"/>
  <c r="L181" i="1"/>
  <c r="K182" i="1"/>
  <c r="L182" i="1"/>
  <c r="K183" i="1"/>
  <c r="L183" i="1"/>
  <c r="K184" i="1"/>
  <c r="L184" i="1"/>
  <c r="K185" i="1"/>
  <c r="L185" i="1"/>
  <c r="K186" i="1"/>
  <c r="L186" i="1"/>
  <c r="K187" i="1"/>
  <c r="L187" i="1"/>
  <c r="K188" i="1"/>
  <c r="L188" i="1"/>
  <c r="K189" i="1"/>
  <c r="L189" i="1"/>
  <c r="K190" i="1"/>
  <c r="L190" i="1"/>
  <c r="K191" i="1"/>
  <c r="L191" i="1"/>
  <c r="K192" i="1"/>
  <c r="L192" i="1"/>
  <c r="K193" i="1"/>
  <c r="L193" i="1"/>
  <c r="K194" i="1"/>
  <c r="L194" i="1"/>
  <c r="K195" i="1"/>
  <c r="L195" i="1"/>
  <c r="K196" i="1"/>
  <c r="L196" i="1"/>
  <c r="K197" i="1"/>
  <c r="L197" i="1"/>
  <c r="K198" i="1"/>
  <c r="L198" i="1"/>
  <c r="K199" i="1"/>
  <c r="L199" i="1"/>
  <c r="K200" i="1"/>
  <c r="L200" i="1"/>
  <c r="K201" i="1"/>
  <c r="L201" i="1"/>
  <c r="L2" i="1"/>
  <c r="K2" i="1"/>
</calcChain>
</file>

<file path=xl/sharedStrings.xml><?xml version="1.0" encoding="utf-8"?>
<sst xmlns="http://schemas.openxmlformats.org/spreadsheetml/2006/main" count="832" uniqueCount="117">
  <si>
    <t>name</t>
  </si>
  <si>
    <t>EM</t>
  </si>
  <si>
    <t>EMCR</t>
  </si>
  <si>
    <t>EVR</t>
  </si>
  <si>
    <t>Albacete</t>
  </si>
  <si>
    <t>Alicante</t>
  </si>
  <si>
    <t>Badajoz</t>
  </si>
  <si>
    <t>Baleares</t>
  </si>
  <si>
    <t>Barcelona</t>
  </si>
  <si>
    <t>Burgos</t>
  </si>
  <si>
    <t>Ciudad Real</t>
  </si>
  <si>
    <t>Cuenca</t>
  </si>
  <si>
    <t>Girona</t>
  </si>
  <si>
    <t>Granada</t>
  </si>
  <si>
    <t>Guadalajara</t>
  </si>
  <si>
    <t>Gipuzkoa</t>
  </si>
  <si>
    <t>Huelva</t>
  </si>
  <si>
    <t>Huesca</t>
  </si>
  <si>
    <t>Lleida</t>
  </si>
  <si>
    <t>La Rioja</t>
  </si>
  <si>
    <t>Lugo</t>
  </si>
  <si>
    <t>Madrid</t>
  </si>
  <si>
    <t>Murcia</t>
  </si>
  <si>
    <t>Navarra</t>
  </si>
  <si>
    <t>Ourense</t>
  </si>
  <si>
    <t>Asturias</t>
  </si>
  <si>
    <t>Palencia</t>
  </si>
  <si>
    <t>Las Palmas</t>
  </si>
  <si>
    <t>Pontevedra</t>
  </si>
  <si>
    <t>Salamanca</t>
  </si>
  <si>
    <t>Tenerife</t>
  </si>
  <si>
    <t>Cantabria</t>
  </si>
  <si>
    <t>Segovia</t>
  </si>
  <si>
    <t>Sevilla</t>
  </si>
  <si>
    <t>Soria</t>
  </si>
  <si>
    <t>Tarragona</t>
  </si>
  <si>
    <t>Teruel</t>
  </si>
  <si>
    <t>Toledo</t>
  </si>
  <si>
    <t>Valencia</t>
  </si>
  <si>
    <t>Valladolid</t>
  </si>
  <si>
    <t>Bizkaia</t>
  </si>
  <si>
    <t>Zamora</t>
  </si>
  <si>
    <t>Zaragoza</t>
  </si>
  <si>
    <t>code_INE</t>
  </si>
  <si>
    <t>move</t>
  </si>
  <si>
    <t>International migration</t>
  </si>
  <si>
    <t>Internal migration</t>
  </si>
  <si>
    <t>Out-migration</t>
  </si>
  <si>
    <t>In-migration</t>
  </si>
  <si>
    <t>Dif_EVR</t>
  </si>
  <si>
    <t>Dif_EM</t>
  </si>
  <si>
    <t>Álava</t>
  </si>
  <si>
    <t>Almería</t>
  </si>
  <si>
    <t>Ávila</t>
  </si>
  <si>
    <t>Cáceres</t>
  </si>
  <si>
    <t>Cádiz</t>
  </si>
  <si>
    <t>Castellón</t>
  </si>
  <si>
    <t>Córdoba</t>
  </si>
  <si>
    <t>A Coruña</t>
  </si>
  <si>
    <t>Jaén</t>
  </si>
  <si>
    <t>León</t>
  </si>
  <si>
    <t>Málaga</t>
  </si>
  <si>
    <t>ES111</t>
  </si>
  <si>
    <t>ES112</t>
  </si>
  <si>
    <t>ES113</t>
  </si>
  <si>
    <t>ES114</t>
  </si>
  <si>
    <t>ES120</t>
  </si>
  <si>
    <t>ES130</t>
  </si>
  <si>
    <t>ES211</t>
  </si>
  <si>
    <t>ES212</t>
  </si>
  <si>
    <t>ES213</t>
  </si>
  <si>
    <t>ES220</t>
  </si>
  <si>
    <t>ES230</t>
  </si>
  <si>
    <t>ES241</t>
  </si>
  <si>
    <t>ES242</t>
  </si>
  <si>
    <t>ES243</t>
  </si>
  <si>
    <t>ES300</t>
  </si>
  <si>
    <t>ES411</t>
  </si>
  <si>
    <t>ES412</t>
  </si>
  <si>
    <t>ES413</t>
  </si>
  <si>
    <t>ES414</t>
  </si>
  <si>
    <t>ES415</t>
  </si>
  <si>
    <t>ES416</t>
  </si>
  <si>
    <t>ES417</t>
  </si>
  <si>
    <t>ES418</t>
  </si>
  <si>
    <t>ES419</t>
  </si>
  <si>
    <t>ES421</t>
  </si>
  <si>
    <t>ES422</t>
  </si>
  <si>
    <t>ES423</t>
  </si>
  <si>
    <t>ES424</t>
  </si>
  <si>
    <t>ES425</t>
  </si>
  <si>
    <t>ES431</t>
  </si>
  <si>
    <t>ES432</t>
  </si>
  <si>
    <t>ES511</t>
  </si>
  <si>
    <t>ES512</t>
  </si>
  <si>
    <t>ES513</t>
  </si>
  <si>
    <t>ES514</t>
  </si>
  <si>
    <t>ES521</t>
  </si>
  <si>
    <t>ES522</t>
  </si>
  <si>
    <t>ES523</t>
  </si>
  <si>
    <t>ES611</t>
  </si>
  <si>
    <t>ES612</t>
  </si>
  <si>
    <t>ES613</t>
  </si>
  <si>
    <t>ES614</t>
  </si>
  <si>
    <t>ES615</t>
  </si>
  <si>
    <t>ES616</t>
  </si>
  <si>
    <t>ES617</t>
  </si>
  <si>
    <t>ES618</t>
  </si>
  <si>
    <t>ES620</t>
  </si>
  <si>
    <t>code_Eurostat</t>
  </si>
  <si>
    <t>ES531_ES532_ES533</t>
  </si>
  <si>
    <t>ES703_ES706_ES707_ES709</t>
  </si>
  <si>
    <t>ES704_ES705_ES708</t>
  </si>
  <si>
    <t>type</t>
  </si>
  <si>
    <t>Total</t>
  </si>
  <si>
    <t>Weights_EVR</t>
  </si>
  <si>
    <t>Weights_EM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</si>
</sst>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6BF87-F082-41A1-B692-490BE2F85E6F}">
  <dimension ref="A1:L205"/>
  <sheetViews>
    <sheetView tabSelected="1" workbookViewId="0"/>
  </sheetViews>
  <sheetFormatPr baseColWidth="10" defaultRowHeight="14.5" x14ac:dyDescent="0.35"/>
  <cols>
    <col min="1" max="1" width="12.90625" customWidth="1"/>
    <col min="4" max="4" width="20.36328125" customWidth="1"/>
    <col min="5" max="5" width="13.453125" customWidth="1"/>
    <col min="11" max="12" width="12.26953125" customWidth="1"/>
  </cols>
  <sheetData>
    <row r="1" spans="1:12" x14ac:dyDescent="0.35">
      <c r="A1" t="s">
        <v>109</v>
      </c>
      <c r="B1" t="s">
        <v>43</v>
      </c>
      <c r="C1" t="s">
        <v>0</v>
      </c>
      <c r="D1" t="s">
        <v>113</v>
      </c>
      <c r="E1" t="s">
        <v>44</v>
      </c>
      <c r="F1" t="s">
        <v>2</v>
      </c>
      <c r="G1" t="s">
        <v>3</v>
      </c>
      <c r="H1" t="s">
        <v>1</v>
      </c>
      <c r="I1" t="s">
        <v>49</v>
      </c>
      <c r="J1" t="s">
        <v>50</v>
      </c>
      <c r="K1" t="s">
        <v>115</v>
      </c>
      <c r="L1" t="s">
        <v>116</v>
      </c>
    </row>
    <row r="2" spans="1:12" x14ac:dyDescent="0.35">
      <c r="A2" t="s">
        <v>68</v>
      </c>
      <c r="B2">
        <v>1</v>
      </c>
      <c r="C2" t="s">
        <v>51</v>
      </c>
      <c r="D2" t="s">
        <v>45</v>
      </c>
      <c r="E2" t="s">
        <v>47</v>
      </c>
      <c r="F2">
        <v>3246</v>
      </c>
      <c r="G2">
        <v>2013</v>
      </c>
      <c r="H2">
        <v>1820</v>
      </c>
      <c r="I2" s="2">
        <f>(F2-G2)/G2*100</f>
        <v>61.251862891207153</v>
      </c>
      <c r="J2" s="2">
        <f>(F2-H2)/H2*100</f>
        <v>78.35164835164835</v>
      </c>
      <c r="K2" s="1">
        <f>G2/F2</f>
        <v>0.62014787430683915</v>
      </c>
      <c r="L2" s="1">
        <f>H2/F2</f>
        <v>0.5606900800985829</v>
      </c>
    </row>
    <row r="3" spans="1:12" x14ac:dyDescent="0.35">
      <c r="A3" t="s">
        <v>68</v>
      </c>
      <c r="B3">
        <v>1</v>
      </c>
      <c r="C3" t="s">
        <v>51</v>
      </c>
      <c r="D3" t="s">
        <v>46</v>
      </c>
      <c r="E3" t="s">
        <v>47</v>
      </c>
      <c r="F3">
        <v>5263</v>
      </c>
      <c r="G3">
        <v>5263</v>
      </c>
      <c r="H3">
        <v>3946</v>
      </c>
      <c r="I3" s="2">
        <f t="shared" ref="I3:I66" si="0">(F3-G3)/G3*100</f>
        <v>0</v>
      </c>
      <c r="J3" s="2">
        <f t="shared" ref="J3:J66" si="1">(F3-H3)/H3*100</f>
        <v>33.375570197668523</v>
      </c>
      <c r="K3" s="1">
        <f t="shared" ref="K3:K66" si="2">G3/F3</f>
        <v>1</v>
      </c>
      <c r="L3" s="1">
        <f t="shared" ref="L3:L66" si="3">H3/F3</f>
        <v>0.74976249287478625</v>
      </c>
    </row>
    <row r="4" spans="1:12" x14ac:dyDescent="0.35">
      <c r="A4" t="s">
        <v>68</v>
      </c>
      <c r="B4">
        <v>1</v>
      </c>
      <c r="C4" t="s">
        <v>51</v>
      </c>
      <c r="D4" t="s">
        <v>45</v>
      </c>
      <c r="E4" t="s">
        <v>48</v>
      </c>
      <c r="F4">
        <v>4141</v>
      </c>
      <c r="G4">
        <v>3647</v>
      </c>
      <c r="H4">
        <v>2523</v>
      </c>
      <c r="I4" s="2">
        <f t="shared" si="0"/>
        <v>13.545379764189743</v>
      </c>
      <c r="J4" s="2">
        <f t="shared" si="1"/>
        <v>64.130003963535472</v>
      </c>
      <c r="K4" s="1">
        <f t="shared" si="2"/>
        <v>0.88070514368510022</v>
      </c>
      <c r="L4" s="1">
        <f t="shared" si="3"/>
        <v>0.60927312243419463</v>
      </c>
    </row>
    <row r="5" spans="1:12" x14ac:dyDescent="0.35">
      <c r="A5" t="s">
        <v>68</v>
      </c>
      <c r="B5">
        <v>1</v>
      </c>
      <c r="C5" t="s">
        <v>51</v>
      </c>
      <c r="D5" t="s">
        <v>46</v>
      </c>
      <c r="E5" t="s">
        <v>48</v>
      </c>
      <c r="F5">
        <v>5517</v>
      </c>
      <c r="G5">
        <v>5506</v>
      </c>
      <c r="H5">
        <v>3893</v>
      </c>
      <c r="I5" s="2">
        <f t="shared" si="0"/>
        <v>0.19978205593897566</v>
      </c>
      <c r="J5" s="2">
        <f t="shared" si="1"/>
        <v>41.715900333932701</v>
      </c>
      <c r="K5" s="1">
        <f t="shared" si="2"/>
        <v>0.99800616276962117</v>
      </c>
      <c r="L5" s="1">
        <f t="shared" si="3"/>
        <v>0.70563712162407111</v>
      </c>
    </row>
    <row r="6" spans="1:12" x14ac:dyDescent="0.35">
      <c r="A6" t="s">
        <v>86</v>
      </c>
      <c r="B6">
        <v>2</v>
      </c>
      <c r="C6" t="s">
        <v>4</v>
      </c>
      <c r="D6" t="s">
        <v>45</v>
      </c>
      <c r="E6" t="s">
        <v>47</v>
      </c>
      <c r="F6">
        <v>3740</v>
      </c>
      <c r="G6">
        <v>2123</v>
      </c>
      <c r="H6">
        <v>2230</v>
      </c>
      <c r="I6" s="2">
        <f t="shared" si="0"/>
        <v>76.165803108808291</v>
      </c>
      <c r="J6" s="2">
        <f t="shared" si="1"/>
        <v>67.713004484304932</v>
      </c>
      <c r="K6" s="1">
        <f t="shared" si="2"/>
        <v>0.56764705882352939</v>
      </c>
      <c r="L6" s="1">
        <f t="shared" si="3"/>
        <v>0.59625668449197866</v>
      </c>
    </row>
    <row r="7" spans="1:12" x14ac:dyDescent="0.35">
      <c r="A7" t="s">
        <v>86</v>
      </c>
      <c r="B7">
        <v>2</v>
      </c>
      <c r="C7" t="s">
        <v>4</v>
      </c>
      <c r="D7" t="s">
        <v>46</v>
      </c>
      <c r="E7" t="s">
        <v>47</v>
      </c>
      <c r="F7">
        <v>6238</v>
      </c>
      <c r="G7">
        <v>6223</v>
      </c>
      <c r="H7">
        <v>4687</v>
      </c>
      <c r="I7" s="2">
        <f t="shared" si="0"/>
        <v>0.24104129840912744</v>
      </c>
      <c r="J7" s="2">
        <f t="shared" si="1"/>
        <v>33.091529763174741</v>
      </c>
      <c r="K7" s="1">
        <f t="shared" si="2"/>
        <v>0.99759538313562035</v>
      </c>
      <c r="L7" s="1">
        <f t="shared" si="3"/>
        <v>0.75136261622314848</v>
      </c>
    </row>
    <row r="8" spans="1:12" x14ac:dyDescent="0.35">
      <c r="A8" t="s">
        <v>86</v>
      </c>
      <c r="B8">
        <v>2</v>
      </c>
      <c r="C8" t="s">
        <v>4</v>
      </c>
      <c r="D8" t="s">
        <v>45</v>
      </c>
      <c r="E8" t="s">
        <v>48</v>
      </c>
      <c r="F8">
        <v>4542</v>
      </c>
      <c r="G8">
        <v>3313</v>
      </c>
      <c r="H8">
        <v>2500</v>
      </c>
      <c r="I8" s="2">
        <f t="shared" si="0"/>
        <v>37.0962873528524</v>
      </c>
      <c r="J8" s="2">
        <f t="shared" si="1"/>
        <v>81.679999999999993</v>
      </c>
      <c r="K8" s="1">
        <f t="shared" si="2"/>
        <v>0.72941435490973139</v>
      </c>
      <c r="L8" s="1">
        <f t="shared" si="3"/>
        <v>0.55041831792162044</v>
      </c>
    </row>
    <row r="9" spans="1:12" x14ac:dyDescent="0.35">
      <c r="A9" t="s">
        <v>86</v>
      </c>
      <c r="B9">
        <v>2</v>
      </c>
      <c r="C9" t="s">
        <v>4</v>
      </c>
      <c r="D9" t="s">
        <v>46</v>
      </c>
      <c r="E9" t="s">
        <v>48</v>
      </c>
      <c r="F9">
        <v>5695</v>
      </c>
      <c r="G9">
        <v>5713</v>
      </c>
      <c r="H9">
        <v>4300</v>
      </c>
      <c r="I9" s="2">
        <f t="shared" si="0"/>
        <v>-0.31507089095046387</v>
      </c>
      <c r="J9" s="2">
        <f t="shared" si="1"/>
        <v>32.441860465116278</v>
      </c>
      <c r="K9" s="1">
        <f t="shared" si="2"/>
        <v>1.0031606672519755</v>
      </c>
      <c r="L9" s="1">
        <f t="shared" si="3"/>
        <v>0.75504828797190515</v>
      </c>
    </row>
    <row r="10" spans="1:12" x14ac:dyDescent="0.35">
      <c r="A10" t="s">
        <v>97</v>
      </c>
      <c r="B10">
        <v>3</v>
      </c>
      <c r="C10" t="s">
        <v>5</v>
      </c>
      <c r="D10" t="s">
        <v>45</v>
      </c>
      <c r="E10" t="s">
        <v>47</v>
      </c>
      <c r="F10">
        <v>40267</v>
      </c>
      <c r="G10">
        <v>30692</v>
      </c>
      <c r="H10">
        <v>28012</v>
      </c>
      <c r="I10" s="2">
        <f t="shared" si="0"/>
        <v>31.19705460706373</v>
      </c>
      <c r="J10" s="2">
        <f t="shared" si="1"/>
        <v>43.749107525346282</v>
      </c>
      <c r="K10" s="1">
        <f t="shared" si="2"/>
        <v>0.76221223334243926</v>
      </c>
      <c r="L10" s="1">
        <f t="shared" si="3"/>
        <v>0.6956564929098269</v>
      </c>
    </row>
    <row r="11" spans="1:12" x14ac:dyDescent="0.35">
      <c r="A11" t="s">
        <v>97</v>
      </c>
      <c r="B11">
        <v>3</v>
      </c>
      <c r="C11" t="s">
        <v>5</v>
      </c>
      <c r="D11" t="s">
        <v>46</v>
      </c>
      <c r="E11" t="s">
        <v>47</v>
      </c>
      <c r="F11">
        <v>25006</v>
      </c>
      <c r="G11">
        <v>24889</v>
      </c>
      <c r="H11">
        <v>16495</v>
      </c>
      <c r="I11" s="2">
        <f t="shared" si="0"/>
        <v>0.47008718711077185</v>
      </c>
      <c r="J11" s="2">
        <f t="shared" si="1"/>
        <v>51.597453773870875</v>
      </c>
      <c r="K11" s="1">
        <f t="shared" si="2"/>
        <v>0.99532112293049668</v>
      </c>
      <c r="L11" s="1">
        <f t="shared" si="3"/>
        <v>0.6596416859953611</v>
      </c>
    </row>
    <row r="12" spans="1:12" x14ac:dyDescent="0.35">
      <c r="A12" t="s">
        <v>97</v>
      </c>
      <c r="B12">
        <v>3</v>
      </c>
      <c r="C12" t="s">
        <v>5</v>
      </c>
      <c r="D12" t="s">
        <v>45</v>
      </c>
      <c r="E12" t="s">
        <v>48</v>
      </c>
      <c r="F12">
        <v>61912</v>
      </c>
      <c r="G12">
        <v>46354</v>
      </c>
      <c r="H12">
        <v>39475</v>
      </c>
      <c r="I12" s="2">
        <f t="shared" si="0"/>
        <v>33.563446520257152</v>
      </c>
      <c r="J12" s="2">
        <f t="shared" si="1"/>
        <v>56.838505383153894</v>
      </c>
      <c r="K12" s="1">
        <f t="shared" si="2"/>
        <v>0.74870784339061891</v>
      </c>
      <c r="L12" s="1">
        <f t="shared" si="3"/>
        <v>0.63759852694146535</v>
      </c>
    </row>
    <row r="13" spans="1:12" x14ac:dyDescent="0.35">
      <c r="A13" t="s">
        <v>97</v>
      </c>
      <c r="B13">
        <v>3</v>
      </c>
      <c r="C13" t="s">
        <v>5</v>
      </c>
      <c r="D13" t="s">
        <v>46</v>
      </c>
      <c r="E13" t="s">
        <v>48</v>
      </c>
      <c r="F13">
        <v>27642</v>
      </c>
      <c r="G13">
        <v>27720</v>
      </c>
      <c r="H13">
        <v>19236</v>
      </c>
      <c r="I13" s="2">
        <f t="shared" si="0"/>
        <v>-0.2813852813852814</v>
      </c>
      <c r="J13" s="2">
        <f t="shared" si="1"/>
        <v>43.699313786650031</v>
      </c>
      <c r="K13" s="1">
        <f t="shared" si="2"/>
        <v>1.0028217929238117</v>
      </c>
      <c r="L13" s="1">
        <f t="shared" si="3"/>
        <v>0.69589754721076624</v>
      </c>
    </row>
    <row r="14" spans="1:12" x14ac:dyDescent="0.35">
      <c r="A14" t="s">
        <v>100</v>
      </c>
      <c r="B14">
        <v>4</v>
      </c>
      <c r="C14" t="s">
        <v>52</v>
      </c>
      <c r="D14" t="s">
        <v>45</v>
      </c>
      <c r="E14" t="s">
        <v>47</v>
      </c>
      <c r="F14">
        <v>16264</v>
      </c>
      <c r="G14">
        <v>12850</v>
      </c>
      <c r="H14">
        <v>10642</v>
      </c>
      <c r="I14" s="2">
        <f t="shared" si="0"/>
        <v>26.568093385214009</v>
      </c>
      <c r="J14" s="2">
        <f t="shared" si="1"/>
        <v>52.828415711332454</v>
      </c>
      <c r="K14" s="1">
        <f t="shared" si="2"/>
        <v>0.79008853910477128</v>
      </c>
      <c r="L14" s="1">
        <f t="shared" si="3"/>
        <v>0.65432857845548453</v>
      </c>
    </row>
    <row r="15" spans="1:12" x14ac:dyDescent="0.35">
      <c r="A15" t="s">
        <v>100</v>
      </c>
      <c r="B15">
        <v>4</v>
      </c>
      <c r="C15" t="s">
        <v>52</v>
      </c>
      <c r="D15" t="s">
        <v>46</v>
      </c>
      <c r="E15" t="s">
        <v>47</v>
      </c>
      <c r="F15">
        <v>10285</v>
      </c>
      <c r="G15">
        <v>10233</v>
      </c>
      <c r="H15">
        <v>8025</v>
      </c>
      <c r="I15" s="2">
        <f t="shared" si="0"/>
        <v>0.50815987491449233</v>
      </c>
      <c r="J15" s="2">
        <f t="shared" si="1"/>
        <v>28.161993769470406</v>
      </c>
      <c r="K15" s="1">
        <f t="shared" si="2"/>
        <v>0.99494409333981526</v>
      </c>
      <c r="L15" s="1">
        <f t="shared" si="3"/>
        <v>0.78026251823043269</v>
      </c>
    </row>
    <row r="16" spans="1:12" x14ac:dyDescent="0.35">
      <c r="A16" t="s">
        <v>100</v>
      </c>
      <c r="B16">
        <v>4</v>
      </c>
      <c r="C16" t="s">
        <v>52</v>
      </c>
      <c r="D16" t="s">
        <v>45</v>
      </c>
      <c r="E16" t="s">
        <v>48</v>
      </c>
      <c r="F16">
        <v>22731</v>
      </c>
      <c r="G16">
        <v>16361</v>
      </c>
      <c r="H16">
        <v>12868</v>
      </c>
      <c r="I16" s="2">
        <f t="shared" si="0"/>
        <v>38.934050485911619</v>
      </c>
      <c r="J16" s="2">
        <f t="shared" si="1"/>
        <v>76.647497668635381</v>
      </c>
      <c r="K16" s="1">
        <f t="shared" si="2"/>
        <v>0.7197659583828252</v>
      </c>
      <c r="L16" s="1">
        <f t="shared" si="3"/>
        <v>0.566099159737803</v>
      </c>
    </row>
    <row r="17" spans="1:12" x14ac:dyDescent="0.35">
      <c r="A17" t="s">
        <v>100</v>
      </c>
      <c r="B17">
        <v>4</v>
      </c>
      <c r="C17" t="s">
        <v>52</v>
      </c>
      <c r="D17" t="s">
        <v>46</v>
      </c>
      <c r="E17" t="s">
        <v>48</v>
      </c>
      <c r="F17">
        <v>11271</v>
      </c>
      <c r="G17">
        <v>11452</v>
      </c>
      <c r="H17">
        <v>8301</v>
      </c>
      <c r="I17" s="2">
        <f t="shared" si="0"/>
        <v>-1.5805099545930841</v>
      </c>
      <c r="J17" s="2">
        <f t="shared" si="1"/>
        <v>35.778821828695342</v>
      </c>
      <c r="K17" s="1">
        <f t="shared" si="2"/>
        <v>1.016058912252684</v>
      </c>
      <c r="L17" s="1">
        <f t="shared" si="3"/>
        <v>0.73649188182060155</v>
      </c>
    </row>
    <row r="18" spans="1:12" x14ac:dyDescent="0.35">
      <c r="A18" t="s">
        <v>77</v>
      </c>
      <c r="B18">
        <v>5</v>
      </c>
      <c r="C18" t="s">
        <v>53</v>
      </c>
      <c r="D18" t="s">
        <v>45</v>
      </c>
      <c r="E18" t="s">
        <v>47</v>
      </c>
      <c r="F18">
        <v>1468</v>
      </c>
      <c r="G18">
        <v>442</v>
      </c>
      <c r="H18">
        <v>528</v>
      </c>
      <c r="I18" s="2">
        <f t="shared" si="0"/>
        <v>232.1266968325792</v>
      </c>
      <c r="J18" s="2">
        <f t="shared" si="1"/>
        <v>178.03030303030303</v>
      </c>
      <c r="K18" s="1">
        <f t="shared" si="2"/>
        <v>0.3010899182561308</v>
      </c>
      <c r="L18" s="1">
        <f t="shared" si="3"/>
        <v>0.35967302452316074</v>
      </c>
    </row>
    <row r="19" spans="1:12" x14ac:dyDescent="0.35">
      <c r="A19" t="s">
        <v>77</v>
      </c>
      <c r="B19">
        <v>5</v>
      </c>
      <c r="C19" t="s">
        <v>53</v>
      </c>
      <c r="D19" t="s">
        <v>46</v>
      </c>
      <c r="E19" t="s">
        <v>47</v>
      </c>
      <c r="F19">
        <v>4559</v>
      </c>
      <c r="G19">
        <v>4609</v>
      </c>
      <c r="H19">
        <v>3332</v>
      </c>
      <c r="I19" s="2">
        <f t="shared" si="0"/>
        <v>-1.0848340203948794</v>
      </c>
      <c r="J19" s="2">
        <f t="shared" si="1"/>
        <v>36.824729891956778</v>
      </c>
      <c r="K19" s="1">
        <f t="shared" si="2"/>
        <v>1.0109673173941653</v>
      </c>
      <c r="L19" s="1">
        <f t="shared" si="3"/>
        <v>0.7308620311471814</v>
      </c>
    </row>
    <row r="20" spans="1:12" x14ac:dyDescent="0.35">
      <c r="A20" t="s">
        <v>77</v>
      </c>
      <c r="B20">
        <v>5</v>
      </c>
      <c r="C20" t="s">
        <v>53</v>
      </c>
      <c r="D20" t="s">
        <v>45</v>
      </c>
      <c r="E20" t="s">
        <v>48</v>
      </c>
      <c r="F20">
        <v>2347</v>
      </c>
      <c r="G20">
        <v>1165</v>
      </c>
      <c r="H20">
        <v>1086</v>
      </c>
      <c r="I20" s="2">
        <f t="shared" si="0"/>
        <v>101.45922746781115</v>
      </c>
      <c r="J20" s="2">
        <f t="shared" si="1"/>
        <v>116.11418047882137</v>
      </c>
      <c r="K20" s="1">
        <f t="shared" si="2"/>
        <v>0.49637835534725183</v>
      </c>
      <c r="L20" s="1">
        <f t="shared" si="3"/>
        <v>0.46271836386876863</v>
      </c>
    </row>
    <row r="21" spans="1:12" x14ac:dyDescent="0.35">
      <c r="A21" t="s">
        <v>77</v>
      </c>
      <c r="B21">
        <v>5</v>
      </c>
      <c r="C21" t="s">
        <v>53</v>
      </c>
      <c r="D21" t="s">
        <v>46</v>
      </c>
      <c r="E21" t="s">
        <v>48</v>
      </c>
      <c r="F21">
        <v>4917</v>
      </c>
      <c r="G21">
        <v>4921</v>
      </c>
      <c r="H21">
        <v>4154</v>
      </c>
      <c r="I21" s="2">
        <f t="shared" si="0"/>
        <v>-8.1284291810607603E-2</v>
      </c>
      <c r="J21" s="2">
        <f t="shared" si="1"/>
        <v>18.36783822821377</v>
      </c>
      <c r="K21" s="1">
        <f t="shared" si="2"/>
        <v>1.0008135041692088</v>
      </c>
      <c r="L21" s="1">
        <f t="shared" si="3"/>
        <v>0.84482407972340856</v>
      </c>
    </row>
    <row r="22" spans="1:12" x14ac:dyDescent="0.35">
      <c r="A22" t="s">
        <v>91</v>
      </c>
      <c r="B22">
        <v>6</v>
      </c>
      <c r="C22" t="s">
        <v>6</v>
      </c>
      <c r="D22" t="s">
        <v>45</v>
      </c>
      <c r="E22" t="s">
        <v>47</v>
      </c>
      <c r="F22">
        <v>3274</v>
      </c>
      <c r="G22">
        <v>1547</v>
      </c>
      <c r="H22">
        <v>1539</v>
      </c>
      <c r="I22" s="2">
        <f t="shared" si="0"/>
        <v>111.63542340012928</v>
      </c>
      <c r="J22" s="2">
        <f t="shared" si="1"/>
        <v>112.73554256010397</v>
      </c>
      <c r="K22" s="1">
        <f t="shared" si="2"/>
        <v>0.47251069028711057</v>
      </c>
      <c r="L22" s="1">
        <f t="shared" si="3"/>
        <v>0.47006719609040931</v>
      </c>
    </row>
    <row r="23" spans="1:12" x14ac:dyDescent="0.35">
      <c r="A23" t="s">
        <v>91</v>
      </c>
      <c r="B23">
        <v>6</v>
      </c>
      <c r="C23" t="s">
        <v>6</v>
      </c>
      <c r="D23" t="s">
        <v>46</v>
      </c>
      <c r="E23" t="s">
        <v>47</v>
      </c>
      <c r="F23">
        <v>7840</v>
      </c>
      <c r="G23">
        <v>7794</v>
      </c>
      <c r="H23">
        <v>6172</v>
      </c>
      <c r="I23" s="2">
        <f t="shared" si="0"/>
        <v>0.59019758788811905</v>
      </c>
      <c r="J23" s="2">
        <f t="shared" si="1"/>
        <v>27.025275437459495</v>
      </c>
      <c r="K23" s="1">
        <f t="shared" si="2"/>
        <v>0.99413265306122445</v>
      </c>
      <c r="L23" s="1">
        <f t="shared" si="3"/>
        <v>0.78724489795918362</v>
      </c>
    </row>
    <row r="24" spans="1:12" x14ac:dyDescent="0.35">
      <c r="A24" t="s">
        <v>91</v>
      </c>
      <c r="B24">
        <v>6</v>
      </c>
      <c r="C24" t="s">
        <v>6</v>
      </c>
      <c r="D24" t="s">
        <v>45</v>
      </c>
      <c r="E24" t="s">
        <v>48</v>
      </c>
      <c r="F24">
        <v>3515</v>
      </c>
      <c r="G24">
        <v>2517</v>
      </c>
      <c r="H24">
        <v>2004</v>
      </c>
      <c r="I24" s="2">
        <f t="shared" si="0"/>
        <v>39.650377433452519</v>
      </c>
      <c r="J24" s="2">
        <f t="shared" si="1"/>
        <v>75.399201596806392</v>
      </c>
      <c r="K24" s="1">
        <f t="shared" si="2"/>
        <v>0.71607396870554763</v>
      </c>
      <c r="L24" s="1">
        <f t="shared" si="3"/>
        <v>0.57012802275960173</v>
      </c>
    </row>
    <row r="25" spans="1:12" x14ac:dyDescent="0.35">
      <c r="A25" t="s">
        <v>91</v>
      </c>
      <c r="B25">
        <v>6</v>
      </c>
      <c r="C25" t="s">
        <v>6</v>
      </c>
      <c r="D25" t="s">
        <v>46</v>
      </c>
      <c r="E25" t="s">
        <v>48</v>
      </c>
      <c r="F25">
        <v>7110</v>
      </c>
      <c r="G25">
        <v>7160</v>
      </c>
      <c r="H25">
        <v>5663</v>
      </c>
      <c r="I25" s="2">
        <f t="shared" si="0"/>
        <v>-0.6983240223463687</v>
      </c>
      <c r="J25" s="2">
        <f t="shared" si="1"/>
        <v>25.55182765318736</v>
      </c>
      <c r="K25" s="1">
        <f t="shared" si="2"/>
        <v>1.0070323488045008</v>
      </c>
      <c r="L25" s="1">
        <f t="shared" si="3"/>
        <v>0.79648382559774966</v>
      </c>
    </row>
    <row r="26" spans="1:12" x14ac:dyDescent="0.35">
      <c r="A26" t="s">
        <v>110</v>
      </c>
      <c r="B26">
        <v>7</v>
      </c>
      <c r="C26" t="s">
        <v>7</v>
      </c>
      <c r="D26" t="s">
        <v>45</v>
      </c>
      <c r="E26" t="s">
        <v>47</v>
      </c>
      <c r="F26">
        <v>27669</v>
      </c>
      <c r="G26">
        <v>13566</v>
      </c>
      <c r="H26">
        <v>11850</v>
      </c>
      <c r="I26" s="2">
        <f t="shared" si="0"/>
        <v>103.95842547545332</v>
      </c>
      <c r="J26" s="2">
        <f t="shared" si="1"/>
        <v>133.49367088607596</v>
      </c>
      <c r="K26" s="1">
        <f t="shared" si="2"/>
        <v>0.4902959991326033</v>
      </c>
      <c r="L26" s="1">
        <f t="shared" si="3"/>
        <v>0.42827713325382194</v>
      </c>
    </row>
    <row r="27" spans="1:12" x14ac:dyDescent="0.35">
      <c r="A27" t="s">
        <v>110</v>
      </c>
      <c r="B27">
        <v>7</v>
      </c>
      <c r="C27" t="s">
        <v>7</v>
      </c>
      <c r="D27" t="s">
        <v>46</v>
      </c>
      <c r="E27" t="s">
        <v>47</v>
      </c>
      <c r="F27">
        <v>20463</v>
      </c>
      <c r="G27">
        <v>20675</v>
      </c>
      <c r="H27">
        <v>15509</v>
      </c>
      <c r="I27" s="2">
        <f t="shared" si="0"/>
        <v>-1.0253929866989118</v>
      </c>
      <c r="J27" s="2">
        <f t="shared" si="1"/>
        <v>31.942742923463797</v>
      </c>
      <c r="K27" s="1">
        <f t="shared" si="2"/>
        <v>1.0103601622440503</v>
      </c>
      <c r="L27" s="1">
        <f t="shared" si="3"/>
        <v>0.75790451058007136</v>
      </c>
    </row>
    <row r="28" spans="1:12" x14ac:dyDescent="0.35">
      <c r="A28" t="s">
        <v>110</v>
      </c>
      <c r="B28">
        <v>7</v>
      </c>
      <c r="C28" t="s">
        <v>7</v>
      </c>
      <c r="D28" t="s">
        <v>45</v>
      </c>
      <c r="E28" t="s">
        <v>48</v>
      </c>
      <c r="F28">
        <v>31401</v>
      </c>
      <c r="G28">
        <v>20942</v>
      </c>
      <c r="H28">
        <v>17576</v>
      </c>
      <c r="I28" s="2">
        <f t="shared" si="0"/>
        <v>49.942698882628214</v>
      </c>
      <c r="J28" s="2">
        <f t="shared" si="1"/>
        <v>78.658397815202548</v>
      </c>
      <c r="K28" s="1">
        <f t="shared" si="2"/>
        <v>0.66692143562306938</v>
      </c>
      <c r="L28" s="1">
        <f t="shared" si="3"/>
        <v>0.5597273972166491</v>
      </c>
    </row>
    <row r="29" spans="1:12" x14ac:dyDescent="0.35">
      <c r="A29" t="s">
        <v>110</v>
      </c>
      <c r="B29">
        <v>7</v>
      </c>
      <c r="C29" t="s">
        <v>7</v>
      </c>
      <c r="D29" t="s">
        <v>46</v>
      </c>
      <c r="E29" t="s">
        <v>48</v>
      </c>
      <c r="F29">
        <v>19068</v>
      </c>
      <c r="G29">
        <v>19132</v>
      </c>
      <c r="H29">
        <v>13318</v>
      </c>
      <c r="I29" s="2">
        <f t="shared" si="0"/>
        <v>-0.33451808488396401</v>
      </c>
      <c r="J29" s="2">
        <f t="shared" si="1"/>
        <v>43.17465084847575</v>
      </c>
      <c r="K29" s="1">
        <f t="shared" si="2"/>
        <v>1.0033564086427522</v>
      </c>
      <c r="L29" s="1">
        <f t="shared" si="3"/>
        <v>0.69844766100272704</v>
      </c>
    </row>
    <row r="30" spans="1:12" x14ac:dyDescent="0.35">
      <c r="A30" t="s">
        <v>93</v>
      </c>
      <c r="B30">
        <v>8</v>
      </c>
      <c r="C30" t="s">
        <v>8</v>
      </c>
      <c r="D30" t="s">
        <v>45</v>
      </c>
      <c r="E30" t="s">
        <v>47</v>
      </c>
      <c r="F30">
        <v>129379</v>
      </c>
      <c r="G30">
        <v>82503</v>
      </c>
      <c r="H30">
        <v>62353</v>
      </c>
      <c r="I30" s="2">
        <f t="shared" si="0"/>
        <v>56.817327854744683</v>
      </c>
      <c r="J30" s="2">
        <f t="shared" si="1"/>
        <v>107.49442689205011</v>
      </c>
      <c r="K30" s="1">
        <f t="shared" si="2"/>
        <v>0.63768463197273129</v>
      </c>
      <c r="L30" s="1">
        <f t="shared" si="3"/>
        <v>0.48194065497491867</v>
      </c>
    </row>
    <row r="31" spans="1:12" x14ac:dyDescent="0.35">
      <c r="A31" t="s">
        <v>93</v>
      </c>
      <c r="B31">
        <v>8</v>
      </c>
      <c r="C31" t="s">
        <v>8</v>
      </c>
      <c r="D31" t="s">
        <v>46</v>
      </c>
      <c r="E31" t="s">
        <v>47</v>
      </c>
      <c r="F31">
        <v>66805</v>
      </c>
      <c r="G31">
        <v>67537</v>
      </c>
      <c r="H31">
        <v>50376</v>
      </c>
      <c r="I31" s="2">
        <f t="shared" si="0"/>
        <v>-1.0838503338910523</v>
      </c>
      <c r="J31" s="2">
        <f t="shared" si="1"/>
        <v>32.612752104176593</v>
      </c>
      <c r="K31" s="1">
        <f t="shared" si="2"/>
        <v>1.0109572636778685</v>
      </c>
      <c r="L31" s="1">
        <f t="shared" si="3"/>
        <v>0.75407529376543669</v>
      </c>
    </row>
    <row r="32" spans="1:12" x14ac:dyDescent="0.35">
      <c r="A32" t="s">
        <v>93</v>
      </c>
      <c r="B32">
        <v>8</v>
      </c>
      <c r="C32" t="s">
        <v>8</v>
      </c>
      <c r="D32" t="s">
        <v>45</v>
      </c>
      <c r="E32" t="s">
        <v>48</v>
      </c>
      <c r="F32">
        <v>148143</v>
      </c>
      <c r="G32">
        <v>112856</v>
      </c>
      <c r="H32">
        <v>85964</v>
      </c>
      <c r="I32" s="2">
        <f t="shared" si="0"/>
        <v>31.267278655986392</v>
      </c>
      <c r="J32" s="2">
        <f t="shared" si="1"/>
        <v>72.331441068354195</v>
      </c>
      <c r="K32" s="1">
        <f t="shared" si="2"/>
        <v>0.76180447270542651</v>
      </c>
      <c r="L32" s="1">
        <f t="shared" si="3"/>
        <v>0.58027716463147094</v>
      </c>
    </row>
    <row r="33" spans="1:12" x14ac:dyDescent="0.35">
      <c r="A33" t="s">
        <v>93</v>
      </c>
      <c r="B33">
        <v>8</v>
      </c>
      <c r="C33" t="s">
        <v>8</v>
      </c>
      <c r="D33" t="s">
        <v>46</v>
      </c>
      <c r="E33" t="s">
        <v>48</v>
      </c>
      <c r="F33">
        <v>53085</v>
      </c>
      <c r="G33">
        <v>53365</v>
      </c>
      <c r="H33">
        <v>37083</v>
      </c>
      <c r="I33" s="2">
        <f t="shared" si="0"/>
        <v>-0.52468846622317999</v>
      </c>
      <c r="J33" s="2">
        <f t="shared" si="1"/>
        <v>43.151848555942074</v>
      </c>
      <c r="K33" s="1">
        <f t="shared" si="2"/>
        <v>1.0052745596684562</v>
      </c>
      <c r="L33" s="1">
        <f t="shared" si="3"/>
        <v>0.69855891494772537</v>
      </c>
    </row>
    <row r="34" spans="1:12" x14ac:dyDescent="0.35">
      <c r="A34" t="s">
        <v>78</v>
      </c>
      <c r="B34">
        <v>9</v>
      </c>
      <c r="C34" t="s">
        <v>9</v>
      </c>
      <c r="D34" t="s">
        <v>45</v>
      </c>
      <c r="E34" t="s">
        <v>47</v>
      </c>
      <c r="F34">
        <v>3452</v>
      </c>
      <c r="G34">
        <v>2056</v>
      </c>
      <c r="H34">
        <v>1951</v>
      </c>
      <c r="I34" s="2">
        <f t="shared" si="0"/>
        <v>67.89883268482491</v>
      </c>
      <c r="J34" s="2">
        <f t="shared" si="1"/>
        <v>76.934905176832387</v>
      </c>
      <c r="K34" s="1">
        <f t="shared" si="2"/>
        <v>0.59559675550405566</v>
      </c>
      <c r="L34" s="1">
        <f t="shared" si="3"/>
        <v>0.56517960602549244</v>
      </c>
    </row>
    <row r="35" spans="1:12" x14ac:dyDescent="0.35">
      <c r="A35" t="s">
        <v>78</v>
      </c>
      <c r="B35">
        <v>9</v>
      </c>
      <c r="C35" t="s">
        <v>9</v>
      </c>
      <c r="D35" t="s">
        <v>46</v>
      </c>
      <c r="E35" t="s">
        <v>47</v>
      </c>
      <c r="F35">
        <v>6338</v>
      </c>
      <c r="G35">
        <v>6299</v>
      </c>
      <c r="H35">
        <v>4558</v>
      </c>
      <c r="I35" s="2">
        <f t="shared" si="0"/>
        <v>0.61914589617399585</v>
      </c>
      <c r="J35" s="2">
        <f t="shared" si="1"/>
        <v>39.052215884159722</v>
      </c>
      <c r="K35" s="1">
        <f t="shared" si="2"/>
        <v>0.99384663931839701</v>
      </c>
      <c r="L35" s="1">
        <f t="shared" si="3"/>
        <v>0.7191543073524771</v>
      </c>
    </row>
    <row r="36" spans="1:12" x14ac:dyDescent="0.35">
      <c r="A36" t="s">
        <v>78</v>
      </c>
      <c r="B36">
        <v>9</v>
      </c>
      <c r="C36" t="s">
        <v>9</v>
      </c>
      <c r="D36" t="s">
        <v>45</v>
      </c>
      <c r="E36" t="s">
        <v>48</v>
      </c>
      <c r="F36">
        <v>4252</v>
      </c>
      <c r="G36">
        <v>3140</v>
      </c>
      <c r="H36">
        <v>2516</v>
      </c>
      <c r="I36" s="2">
        <f t="shared" si="0"/>
        <v>35.414012738853501</v>
      </c>
      <c r="J36" s="2">
        <f t="shared" si="1"/>
        <v>68.99841017488076</v>
      </c>
      <c r="K36" s="1">
        <f t="shared" si="2"/>
        <v>0.73847601128880525</v>
      </c>
      <c r="L36" s="1">
        <f t="shared" si="3"/>
        <v>0.59172154280338662</v>
      </c>
    </row>
    <row r="37" spans="1:12" x14ac:dyDescent="0.35">
      <c r="A37" t="s">
        <v>78</v>
      </c>
      <c r="B37">
        <v>9</v>
      </c>
      <c r="C37" t="s">
        <v>9</v>
      </c>
      <c r="D37" t="s">
        <v>46</v>
      </c>
      <c r="E37" t="s">
        <v>48</v>
      </c>
      <c r="F37">
        <v>6188</v>
      </c>
      <c r="G37">
        <v>6147</v>
      </c>
      <c r="H37">
        <v>4575</v>
      </c>
      <c r="I37" s="2">
        <f t="shared" si="0"/>
        <v>0.66699202863185292</v>
      </c>
      <c r="J37" s="2">
        <f t="shared" si="1"/>
        <v>35.256830601092901</v>
      </c>
      <c r="K37" s="1">
        <f t="shared" si="2"/>
        <v>0.99337427278603752</v>
      </c>
      <c r="L37" s="1">
        <f t="shared" si="3"/>
        <v>0.7393341952165482</v>
      </c>
    </row>
    <row r="38" spans="1:12" x14ac:dyDescent="0.35">
      <c r="A38" t="s">
        <v>92</v>
      </c>
      <c r="B38">
        <v>10</v>
      </c>
      <c r="C38" t="s">
        <v>54</v>
      </c>
      <c r="D38" t="s">
        <v>45</v>
      </c>
      <c r="E38" t="s">
        <v>47</v>
      </c>
      <c r="F38">
        <v>1834</v>
      </c>
      <c r="G38">
        <v>591</v>
      </c>
      <c r="H38">
        <v>849</v>
      </c>
      <c r="I38" s="2">
        <f t="shared" si="0"/>
        <v>210.32148900169204</v>
      </c>
      <c r="J38" s="2">
        <f t="shared" si="1"/>
        <v>116.0188457008245</v>
      </c>
      <c r="K38" s="1">
        <f t="shared" si="2"/>
        <v>0.32224645583424211</v>
      </c>
      <c r="L38" s="1">
        <f t="shared" si="3"/>
        <v>0.46292257360959649</v>
      </c>
    </row>
    <row r="39" spans="1:12" x14ac:dyDescent="0.35">
      <c r="A39" t="s">
        <v>92</v>
      </c>
      <c r="B39">
        <v>10</v>
      </c>
      <c r="C39" t="s">
        <v>54</v>
      </c>
      <c r="D39" t="s">
        <v>46</v>
      </c>
      <c r="E39" t="s">
        <v>47</v>
      </c>
      <c r="F39">
        <v>5851</v>
      </c>
      <c r="G39">
        <v>5887</v>
      </c>
      <c r="H39">
        <v>4745</v>
      </c>
      <c r="I39" s="2">
        <f t="shared" si="0"/>
        <v>-0.61151690164769834</v>
      </c>
      <c r="J39" s="2">
        <f t="shared" si="1"/>
        <v>23.308746048472077</v>
      </c>
      <c r="K39" s="1">
        <f t="shared" si="2"/>
        <v>1.0061527943941206</v>
      </c>
      <c r="L39" s="1">
        <f t="shared" si="3"/>
        <v>0.81097248333618188</v>
      </c>
    </row>
    <row r="40" spans="1:12" x14ac:dyDescent="0.35">
      <c r="A40" t="s">
        <v>92</v>
      </c>
      <c r="B40">
        <v>10</v>
      </c>
      <c r="C40" t="s">
        <v>54</v>
      </c>
      <c r="D40" t="s">
        <v>45</v>
      </c>
      <c r="E40" t="s">
        <v>48</v>
      </c>
      <c r="F40">
        <v>2710</v>
      </c>
      <c r="G40">
        <v>1527</v>
      </c>
      <c r="H40">
        <v>1329</v>
      </c>
      <c r="I40" s="2">
        <f t="shared" si="0"/>
        <v>77.472167648984936</v>
      </c>
      <c r="J40" s="2">
        <f t="shared" si="1"/>
        <v>103.91271632806622</v>
      </c>
      <c r="K40" s="1">
        <f t="shared" si="2"/>
        <v>0.56346863468634689</v>
      </c>
      <c r="L40" s="1">
        <f t="shared" si="3"/>
        <v>0.49040590405904061</v>
      </c>
    </row>
    <row r="41" spans="1:12" x14ac:dyDescent="0.35">
      <c r="A41" t="s">
        <v>92</v>
      </c>
      <c r="B41">
        <v>10</v>
      </c>
      <c r="C41" t="s">
        <v>54</v>
      </c>
      <c r="D41" t="s">
        <v>46</v>
      </c>
      <c r="E41" t="s">
        <v>48</v>
      </c>
      <c r="F41">
        <v>5811</v>
      </c>
      <c r="G41">
        <v>5802</v>
      </c>
      <c r="H41">
        <v>4728</v>
      </c>
      <c r="I41" s="2">
        <f t="shared" si="0"/>
        <v>0.15511892450879006</v>
      </c>
      <c r="J41" s="2">
        <f t="shared" si="1"/>
        <v>22.906091370558375</v>
      </c>
      <c r="K41" s="1">
        <f t="shared" si="2"/>
        <v>0.99845121321631392</v>
      </c>
      <c r="L41" s="1">
        <f t="shared" si="3"/>
        <v>0.81362932369643781</v>
      </c>
    </row>
    <row r="42" spans="1:12" x14ac:dyDescent="0.35">
      <c r="A42" t="s">
        <v>101</v>
      </c>
      <c r="B42">
        <v>11</v>
      </c>
      <c r="C42" t="s">
        <v>55</v>
      </c>
      <c r="D42" t="s">
        <v>45</v>
      </c>
      <c r="E42" t="s">
        <v>47</v>
      </c>
      <c r="F42">
        <v>8863</v>
      </c>
      <c r="G42">
        <v>4691</v>
      </c>
      <c r="H42">
        <v>4674</v>
      </c>
      <c r="I42" s="2">
        <f t="shared" si="0"/>
        <v>88.936260925175873</v>
      </c>
      <c r="J42" s="2">
        <f t="shared" si="1"/>
        <v>89.623448866067605</v>
      </c>
      <c r="K42" s="1">
        <f t="shared" si="2"/>
        <v>0.52927902516078074</v>
      </c>
      <c r="L42" s="1">
        <f t="shared" si="3"/>
        <v>0.52736093873406298</v>
      </c>
    </row>
    <row r="43" spans="1:12" x14ac:dyDescent="0.35">
      <c r="A43" t="s">
        <v>101</v>
      </c>
      <c r="B43">
        <v>11</v>
      </c>
      <c r="C43" t="s">
        <v>55</v>
      </c>
      <c r="D43" t="s">
        <v>46</v>
      </c>
      <c r="E43" t="s">
        <v>47</v>
      </c>
      <c r="F43">
        <v>15036</v>
      </c>
      <c r="G43">
        <v>15064</v>
      </c>
      <c r="H43">
        <v>11307</v>
      </c>
      <c r="I43" s="2">
        <f t="shared" si="0"/>
        <v>-0.18587360594795538</v>
      </c>
      <c r="J43" s="2">
        <f t="shared" si="1"/>
        <v>32.979570177765986</v>
      </c>
      <c r="K43" s="1">
        <f t="shared" si="2"/>
        <v>1.0018621973929236</v>
      </c>
      <c r="L43" s="1">
        <f t="shared" si="3"/>
        <v>0.75199521149241821</v>
      </c>
    </row>
    <row r="44" spans="1:12" x14ac:dyDescent="0.35">
      <c r="A44" t="s">
        <v>101</v>
      </c>
      <c r="B44">
        <v>11</v>
      </c>
      <c r="C44" t="s">
        <v>55</v>
      </c>
      <c r="D44" t="s">
        <v>45</v>
      </c>
      <c r="E44" t="s">
        <v>48</v>
      </c>
      <c r="F44">
        <v>11348</v>
      </c>
      <c r="G44">
        <v>8248</v>
      </c>
      <c r="H44">
        <v>7015</v>
      </c>
      <c r="I44" s="2">
        <f t="shared" si="0"/>
        <v>37.584869059165861</v>
      </c>
      <c r="J44" s="2">
        <f t="shared" si="1"/>
        <v>61.767640769779042</v>
      </c>
      <c r="K44" s="1">
        <f t="shared" si="2"/>
        <v>0.72682410997532609</v>
      </c>
      <c r="L44" s="1">
        <f t="shared" si="3"/>
        <v>0.61817060274938318</v>
      </c>
    </row>
    <row r="45" spans="1:12" x14ac:dyDescent="0.35">
      <c r="A45" t="s">
        <v>101</v>
      </c>
      <c r="B45">
        <v>11</v>
      </c>
      <c r="C45" t="s">
        <v>55</v>
      </c>
      <c r="D45" t="s">
        <v>46</v>
      </c>
      <c r="E45" t="s">
        <v>48</v>
      </c>
      <c r="F45">
        <v>16049</v>
      </c>
      <c r="G45">
        <v>16264</v>
      </c>
      <c r="H45">
        <v>13054</v>
      </c>
      <c r="I45" s="2">
        <f t="shared" si="0"/>
        <v>-1.3219380226266599</v>
      </c>
      <c r="J45" s="2">
        <f t="shared" si="1"/>
        <v>22.943159184924163</v>
      </c>
      <c r="K45" s="1">
        <f t="shared" si="2"/>
        <v>1.0133964733005172</v>
      </c>
      <c r="L45" s="1">
        <f t="shared" si="3"/>
        <v>0.81338401146488881</v>
      </c>
    </row>
    <row r="46" spans="1:12" x14ac:dyDescent="0.35">
      <c r="A46" t="s">
        <v>98</v>
      </c>
      <c r="B46">
        <v>12</v>
      </c>
      <c r="C46" t="s">
        <v>56</v>
      </c>
      <c r="D46" t="s">
        <v>45</v>
      </c>
      <c r="E46" t="s">
        <v>47</v>
      </c>
      <c r="F46">
        <v>8642</v>
      </c>
      <c r="G46">
        <v>6996</v>
      </c>
      <c r="H46">
        <v>5213</v>
      </c>
      <c r="I46" s="2">
        <f t="shared" si="0"/>
        <v>23.527730131503716</v>
      </c>
      <c r="J46" s="2">
        <f t="shared" si="1"/>
        <v>65.77786303472088</v>
      </c>
      <c r="K46" s="1">
        <f t="shared" si="2"/>
        <v>0.80953482990048597</v>
      </c>
      <c r="L46" s="1">
        <f t="shared" si="3"/>
        <v>0.60321684795186303</v>
      </c>
    </row>
    <row r="47" spans="1:12" x14ac:dyDescent="0.35">
      <c r="A47" t="s">
        <v>98</v>
      </c>
      <c r="B47">
        <v>12</v>
      </c>
      <c r="C47" t="s">
        <v>56</v>
      </c>
      <c r="D47" t="s">
        <v>46</v>
      </c>
      <c r="E47" t="s">
        <v>47</v>
      </c>
      <c r="F47">
        <v>7659</v>
      </c>
      <c r="G47">
        <v>7620</v>
      </c>
      <c r="H47">
        <v>5382</v>
      </c>
      <c r="I47" s="2">
        <f t="shared" si="0"/>
        <v>0.51181102362204722</v>
      </c>
      <c r="J47" s="2">
        <f t="shared" si="1"/>
        <v>42.307692307692307</v>
      </c>
      <c r="K47" s="1">
        <f t="shared" si="2"/>
        <v>0.99490795142969057</v>
      </c>
      <c r="L47" s="1">
        <f t="shared" si="3"/>
        <v>0.70270270270270274</v>
      </c>
    </row>
    <row r="48" spans="1:12" x14ac:dyDescent="0.35">
      <c r="A48" t="s">
        <v>98</v>
      </c>
      <c r="B48">
        <v>12</v>
      </c>
      <c r="C48" t="s">
        <v>56</v>
      </c>
      <c r="D48" t="s">
        <v>45</v>
      </c>
      <c r="E48" t="s">
        <v>48</v>
      </c>
      <c r="F48">
        <v>10931</v>
      </c>
      <c r="G48">
        <v>8800</v>
      </c>
      <c r="H48">
        <v>6226</v>
      </c>
      <c r="I48" s="2">
        <f t="shared" si="0"/>
        <v>24.21590909090909</v>
      </c>
      <c r="J48" s="2">
        <f t="shared" si="1"/>
        <v>75.570189527786695</v>
      </c>
      <c r="K48" s="1">
        <f t="shared" si="2"/>
        <v>0.80504985820144548</v>
      </c>
      <c r="L48" s="1">
        <f t="shared" si="3"/>
        <v>0.56957277467752265</v>
      </c>
    </row>
    <row r="49" spans="1:12" x14ac:dyDescent="0.35">
      <c r="A49" t="s">
        <v>98</v>
      </c>
      <c r="B49">
        <v>12</v>
      </c>
      <c r="C49" t="s">
        <v>56</v>
      </c>
      <c r="D49" t="s">
        <v>46</v>
      </c>
      <c r="E49" t="s">
        <v>48</v>
      </c>
      <c r="F49">
        <v>10802</v>
      </c>
      <c r="G49">
        <v>10856</v>
      </c>
      <c r="H49">
        <v>7919</v>
      </c>
      <c r="I49" s="2">
        <f t="shared" si="0"/>
        <v>-0.49742078113485627</v>
      </c>
      <c r="J49" s="2">
        <f t="shared" si="1"/>
        <v>36.406111882813484</v>
      </c>
      <c r="K49" s="1">
        <f t="shared" si="2"/>
        <v>1.0049990742455102</v>
      </c>
      <c r="L49" s="1">
        <f t="shared" si="3"/>
        <v>0.73310498055915574</v>
      </c>
    </row>
    <row r="50" spans="1:12" x14ac:dyDescent="0.35">
      <c r="A50" t="s">
        <v>87</v>
      </c>
      <c r="B50">
        <v>13</v>
      </c>
      <c r="C50" t="s">
        <v>10</v>
      </c>
      <c r="D50" t="s">
        <v>45</v>
      </c>
      <c r="E50" t="s">
        <v>47</v>
      </c>
      <c r="F50">
        <v>4117</v>
      </c>
      <c r="G50">
        <v>2649</v>
      </c>
      <c r="H50">
        <v>2412</v>
      </c>
      <c r="I50" s="2">
        <f t="shared" si="0"/>
        <v>55.417138542846359</v>
      </c>
      <c r="J50" s="2">
        <f t="shared" si="1"/>
        <v>70.688225538971807</v>
      </c>
      <c r="K50" s="1">
        <f t="shared" si="2"/>
        <v>0.64342968180714111</v>
      </c>
      <c r="L50" s="1">
        <f t="shared" si="3"/>
        <v>0.58586349283458827</v>
      </c>
    </row>
    <row r="51" spans="1:12" x14ac:dyDescent="0.35">
      <c r="A51" t="s">
        <v>87</v>
      </c>
      <c r="B51">
        <v>13</v>
      </c>
      <c r="C51" t="s">
        <v>10</v>
      </c>
      <c r="D51" t="s">
        <v>46</v>
      </c>
      <c r="E51" t="s">
        <v>47</v>
      </c>
      <c r="F51">
        <v>8028</v>
      </c>
      <c r="G51">
        <v>8011</v>
      </c>
      <c r="H51">
        <v>5838</v>
      </c>
      <c r="I51" s="2">
        <f t="shared" si="0"/>
        <v>0.21220821370615406</v>
      </c>
      <c r="J51" s="2">
        <f t="shared" si="1"/>
        <v>37.51284686536485</v>
      </c>
      <c r="K51" s="1">
        <f t="shared" si="2"/>
        <v>0.9978824115595416</v>
      </c>
      <c r="L51" s="1">
        <f t="shared" si="3"/>
        <v>0.72720478325859494</v>
      </c>
    </row>
    <row r="52" spans="1:12" x14ac:dyDescent="0.35">
      <c r="A52" t="s">
        <v>87</v>
      </c>
      <c r="B52">
        <v>13</v>
      </c>
      <c r="C52" t="s">
        <v>10</v>
      </c>
      <c r="D52" t="s">
        <v>45</v>
      </c>
      <c r="E52" t="s">
        <v>48</v>
      </c>
      <c r="F52">
        <v>4994</v>
      </c>
      <c r="G52">
        <v>3470</v>
      </c>
      <c r="H52">
        <v>2813</v>
      </c>
      <c r="I52" s="2">
        <f t="shared" si="0"/>
        <v>43.919308357348704</v>
      </c>
      <c r="J52" s="2">
        <f t="shared" si="1"/>
        <v>77.532883043014579</v>
      </c>
      <c r="K52" s="1">
        <f t="shared" si="2"/>
        <v>0.69483380056067279</v>
      </c>
      <c r="L52" s="1">
        <f t="shared" si="3"/>
        <v>0.56327593111734076</v>
      </c>
    </row>
    <row r="53" spans="1:12" x14ac:dyDescent="0.35">
      <c r="A53" t="s">
        <v>87</v>
      </c>
      <c r="B53">
        <v>13</v>
      </c>
      <c r="C53" t="s">
        <v>10</v>
      </c>
      <c r="D53" t="s">
        <v>46</v>
      </c>
      <c r="E53" t="s">
        <v>48</v>
      </c>
      <c r="F53">
        <v>6964</v>
      </c>
      <c r="G53">
        <v>7011</v>
      </c>
      <c r="H53">
        <v>5311</v>
      </c>
      <c r="I53" s="2">
        <f t="shared" si="0"/>
        <v>-0.67037512480387962</v>
      </c>
      <c r="J53" s="2">
        <f t="shared" si="1"/>
        <v>31.124082093767651</v>
      </c>
      <c r="K53" s="1">
        <f t="shared" si="2"/>
        <v>1.0067489948305572</v>
      </c>
      <c r="L53" s="1">
        <f t="shared" si="3"/>
        <v>0.76263641585295805</v>
      </c>
    </row>
    <row r="54" spans="1:12" x14ac:dyDescent="0.35">
      <c r="A54" t="s">
        <v>102</v>
      </c>
      <c r="B54">
        <v>14</v>
      </c>
      <c r="C54" t="s">
        <v>57</v>
      </c>
      <c r="D54" t="s">
        <v>45</v>
      </c>
      <c r="E54" t="s">
        <v>47</v>
      </c>
      <c r="F54">
        <v>3426</v>
      </c>
      <c r="G54">
        <v>1661</v>
      </c>
      <c r="H54">
        <v>1587</v>
      </c>
      <c r="I54" s="2">
        <f t="shared" si="0"/>
        <v>106.26128838049367</v>
      </c>
      <c r="J54" s="2">
        <f t="shared" si="1"/>
        <v>115.87901701323251</v>
      </c>
      <c r="K54" s="1">
        <f t="shared" si="2"/>
        <v>0.48482194979568011</v>
      </c>
      <c r="L54" s="1">
        <f t="shared" si="3"/>
        <v>0.46322241681260945</v>
      </c>
    </row>
    <row r="55" spans="1:12" x14ac:dyDescent="0.35">
      <c r="A55" t="s">
        <v>102</v>
      </c>
      <c r="B55">
        <v>14</v>
      </c>
      <c r="C55" t="s">
        <v>57</v>
      </c>
      <c r="D55" t="s">
        <v>46</v>
      </c>
      <c r="E55" t="s">
        <v>47</v>
      </c>
      <c r="F55">
        <v>9350</v>
      </c>
      <c r="G55">
        <v>9439</v>
      </c>
      <c r="H55">
        <v>7708</v>
      </c>
      <c r="I55" s="2">
        <f t="shared" si="0"/>
        <v>-0.9428964932725924</v>
      </c>
      <c r="J55" s="2">
        <f t="shared" si="1"/>
        <v>21.302542812662171</v>
      </c>
      <c r="K55" s="1">
        <f t="shared" si="2"/>
        <v>1.0095187165775401</v>
      </c>
      <c r="L55" s="1">
        <f t="shared" si="3"/>
        <v>0.82438502673796787</v>
      </c>
    </row>
    <row r="56" spans="1:12" x14ac:dyDescent="0.35">
      <c r="A56" t="s">
        <v>102</v>
      </c>
      <c r="B56">
        <v>14</v>
      </c>
      <c r="C56" t="s">
        <v>57</v>
      </c>
      <c r="D56" t="s">
        <v>45</v>
      </c>
      <c r="E56" t="s">
        <v>48</v>
      </c>
      <c r="F56">
        <v>4633</v>
      </c>
      <c r="G56">
        <v>2408</v>
      </c>
      <c r="H56">
        <v>2228</v>
      </c>
      <c r="I56" s="2">
        <f t="shared" si="0"/>
        <v>92.400332225913616</v>
      </c>
      <c r="J56" s="2">
        <f t="shared" si="1"/>
        <v>107.94434470377018</v>
      </c>
      <c r="K56" s="1">
        <f t="shared" si="2"/>
        <v>0.51974962227498378</v>
      </c>
      <c r="L56" s="1">
        <f t="shared" si="3"/>
        <v>0.48089790632419599</v>
      </c>
    </row>
    <row r="57" spans="1:12" x14ac:dyDescent="0.35">
      <c r="A57" t="s">
        <v>102</v>
      </c>
      <c r="B57">
        <v>14</v>
      </c>
      <c r="C57" t="s">
        <v>57</v>
      </c>
      <c r="D57" t="s">
        <v>46</v>
      </c>
      <c r="E57" t="s">
        <v>48</v>
      </c>
      <c r="F57">
        <v>7348</v>
      </c>
      <c r="G57">
        <v>6672</v>
      </c>
      <c r="H57">
        <v>6130</v>
      </c>
      <c r="I57" s="2">
        <f t="shared" si="0"/>
        <v>10.13189448441247</v>
      </c>
      <c r="J57" s="2">
        <f t="shared" si="1"/>
        <v>19.869494290375204</v>
      </c>
      <c r="K57" s="1">
        <f t="shared" si="2"/>
        <v>0.90800217746325529</v>
      </c>
      <c r="L57" s="1">
        <f t="shared" si="3"/>
        <v>0.83424060968971148</v>
      </c>
    </row>
    <row r="58" spans="1:12" x14ac:dyDescent="0.35">
      <c r="A58" t="s">
        <v>62</v>
      </c>
      <c r="B58">
        <v>15</v>
      </c>
      <c r="C58" t="s">
        <v>58</v>
      </c>
      <c r="D58" t="s">
        <v>45</v>
      </c>
      <c r="E58" t="s">
        <v>47</v>
      </c>
      <c r="F58">
        <v>6210</v>
      </c>
      <c r="G58">
        <v>3393</v>
      </c>
      <c r="H58">
        <v>3119</v>
      </c>
      <c r="I58" s="2">
        <f t="shared" si="0"/>
        <v>83.023872679045098</v>
      </c>
      <c r="J58" s="2">
        <f t="shared" si="1"/>
        <v>99.102276370631614</v>
      </c>
      <c r="K58" s="1">
        <f t="shared" si="2"/>
        <v>0.54637681159420293</v>
      </c>
      <c r="L58" s="1">
        <f t="shared" si="3"/>
        <v>0.5022544283413849</v>
      </c>
    </row>
    <row r="59" spans="1:12" x14ac:dyDescent="0.35">
      <c r="A59" t="s">
        <v>62</v>
      </c>
      <c r="B59">
        <v>15</v>
      </c>
      <c r="C59" t="s">
        <v>58</v>
      </c>
      <c r="D59" t="s">
        <v>46</v>
      </c>
      <c r="E59" t="s">
        <v>47</v>
      </c>
      <c r="F59">
        <v>11792</v>
      </c>
      <c r="G59">
        <v>11845</v>
      </c>
      <c r="H59">
        <v>8625</v>
      </c>
      <c r="I59" s="2">
        <f t="shared" si="0"/>
        <v>-0.44744617982270996</v>
      </c>
      <c r="J59" s="2">
        <f t="shared" si="1"/>
        <v>36.718840579710147</v>
      </c>
      <c r="K59" s="1">
        <f t="shared" si="2"/>
        <v>1.0044945725915875</v>
      </c>
      <c r="L59" s="1">
        <f t="shared" si="3"/>
        <v>0.73142808683853455</v>
      </c>
    </row>
    <row r="60" spans="1:12" x14ac:dyDescent="0.35">
      <c r="A60" t="s">
        <v>62</v>
      </c>
      <c r="B60">
        <v>15</v>
      </c>
      <c r="C60" t="s">
        <v>58</v>
      </c>
      <c r="D60" t="s">
        <v>45</v>
      </c>
      <c r="E60" t="s">
        <v>48</v>
      </c>
      <c r="F60">
        <v>10659</v>
      </c>
      <c r="G60">
        <v>8496</v>
      </c>
      <c r="H60">
        <v>7191</v>
      </c>
      <c r="I60" s="2">
        <f t="shared" si="0"/>
        <v>25.459039548022599</v>
      </c>
      <c r="J60" s="2">
        <f t="shared" si="1"/>
        <v>48.226950354609926</v>
      </c>
      <c r="K60" s="1">
        <f t="shared" si="2"/>
        <v>0.79707289614410359</v>
      </c>
      <c r="L60" s="1">
        <f t="shared" si="3"/>
        <v>0.67464114832535882</v>
      </c>
    </row>
    <row r="61" spans="1:12" x14ac:dyDescent="0.35">
      <c r="A61" t="s">
        <v>62</v>
      </c>
      <c r="B61">
        <v>15</v>
      </c>
      <c r="C61" t="s">
        <v>58</v>
      </c>
      <c r="D61" t="s">
        <v>46</v>
      </c>
      <c r="E61" t="s">
        <v>48</v>
      </c>
      <c r="F61">
        <v>12908</v>
      </c>
      <c r="G61">
        <v>12915</v>
      </c>
      <c r="H61">
        <v>9920</v>
      </c>
      <c r="I61" s="2">
        <f t="shared" si="0"/>
        <v>-5.4200542005420058E-2</v>
      </c>
      <c r="J61" s="2">
        <f t="shared" si="1"/>
        <v>30.120967741935484</v>
      </c>
      <c r="K61" s="1">
        <f t="shared" si="2"/>
        <v>1.0005422993492408</v>
      </c>
      <c r="L61" s="1">
        <f t="shared" si="3"/>
        <v>0.76851564920979243</v>
      </c>
    </row>
    <row r="62" spans="1:12" x14ac:dyDescent="0.35">
      <c r="A62" t="s">
        <v>88</v>
      </c>
      <c r="B62">
        <v>16</v>
      </c>
      <c r="C62" t="s">
        <v>11</v>
      </c>
      <c r="D62" t="s">
        <v>45</v>
      </c>
      <c r="E62" t="s">
        <v>47</v>
      </c>
      <c r="F62">
        <v>2486</v>
      </c>
      <c r="G62">
        <v>1220</v>
      </c>
      <c r="H62">
        <v>1131</v>
      </c>
      <c r="I62" s="2">
        <f t="shared" si="0"/>
        <v>103.77049180327869</v>
      </c>
      <c r="J62" s="2">
        <f t="shared" si="1"/>
        <v>119.80548187444739</v>
      </c>
      <c r="K62" s="1">
        <f t="shared" si="2"/>
        <v>0.4907481898632341</v>
      </c>
      <c r="L62" s="1">
        <f t="shared" si="3"/>
        <v>0.45494770716009653</v>
      </c>
    </row>
    <row r="63" spans="1:12" x14ac:dyDescent="0.35">
      <c r="A63" t="s">
        <v>88</v>
      </c>
      <c r="B63">
        <v>16</v>
      </c>
      <c r="C63" t="s">
        <v>11</v>
      </c>
      <c r="D63" t="s">
        <v>46</v>
      </c>
      <c r="E63" t="s">
        <v>47</v>
      </c>
      <c r="F63">
        <v>4577</v>
      </c>
      <c r="G63">
        <v>4593</v>
      </c>
      <c r="H63">
        <v>3268</v>
      </c>
      <c r="I63" s="2">
        <f t="shared" si="0"/>
        <v>-0.34835619420857827</v>
      </c>
      <c r="J63" s="2">
        <f t="shared" si="1"/>
        <v>40.055079559363527</v>
      </c>
      <c r="K63" s="1">
        <f t="shared" si="2"/>
        <v>1.0034957395674022</v>
      </c>
      <c r="L63" s="1">
        <f t="shared" si="3"/>
        <v>0.71400480664190513</v>
      </c>
    </row>
    <row r="64" spans="1:12" x14ac:dyDescent="0.35">
      <c r="A64" t="s">
        <v>88</v>
      </c>
      <c r="B64">
        <v>16</v>
      </c>
      <c r="C64" t="s">
        <v>11</v>
      </c>
      <c r="D64" t="s">
        <v>45</v>
      </c>
      <c r="E64" t="s">
        <v>48</v>
      </c>
      <c r="F64">
        <v>3512</v>
      </c>
      <c r="G64">
        <v>2233</v>
      </c>
      <c r="H64">
        <v>1795</v>
      </c>
      <c r="I64" s="2">
        <f t="shared" si="0"/>
        <v>57.277205553067624</v>
      </c>
      <c r="J64" s="2">
        <f t="shared" si="1"/>
        <v>95.654596100278553</v>
      </c>
      <c r="K64" s="1">
        <f t="shared" si="2"/>
        <v>0.63582004555808658</v>
      </c>
      <c r="L64" s="1">
        <f t="shared" si="3"/>
        <v>0.51110478359908884</v>
      </c>
    </row>
    <row r="65" spans="1:12" x14ac:dyDescent="0.35">
      <c r="A65" t="s">
        <v>88</v>
      </c>
      <c r="B65">
        <v>16</v>
      </c>
      <c r="C65" t="s">
        <v>11</v>
      </c>
      <c r="D65" t="s">
        <v>46</v>
      </c>
      <c r="E65" t="s">
        <v>48</v>
      </c>
      <c r="F65">
        <v>4563</v>
      </c>
      <c r="G65">
        <v>4573</v>
      </c>
      <c r="H65">
        <v>3542</v>
      </c>
      <c r="I65" s="2">
        <f t="shared" si="0"/>
        <v>-0.21867483052700631</v>
      </c>
      <c r="J65" s="2">
        <f t="shared" si="1"/>
        <v>28.825522303783174</v>
      </c>
      <c r="K65" s="1">
        <f t="shared" si="2"/>
        <v>1.002191540653079</v>
      </c>
      <c r="L65" s="1">
        <f t="shared" si="3"/>
        <v>0.77624369932062243</v>
      </c>
    </row>
    <row r="66" spans="1:12" x14ac:dyDescent="0.35">
      <c r="A66" t="s">
        <v>94</v>
      </c>
      <c r="B66">
        <v>17</v>
      </c>
      <c r="C66" t="s">
        <v>12</v>
      </c>
      <c r="D66" t="s">
        <v>45</v>
      </c>
      <c r="E66" t="s">
        <v>47</v>
      </c>
      <c r="F66">
        <v>17331</v>
      </c>
      <c r="G66">
        <v>10506</v>
      </c>
      <c r="H66">
        <v>9790</v>
      </c>
      <c r="I66" s="2">
        <f t="shared" si="0"/>
        <v>64.962878355225584</v>
      </c>
      <c r="J66" s="2">
        <f t="shared" si="1"/>
        <v>77.027579162410618</v>
      </c>
      <c r="K66" s="1">
        <f t="shared" si="2"/>
        <v>0.60619698805608446</v>
      </c>
      <c r="L66" s="1">
        <f t="shared" si="3"/>
        <v>0.56488373434885464</v>
      </c>
    </row>
    <row r="67" spans="1:12" x14ac:dyDescent="0.35">
      <c r="A67" t="s">
        <v>94</v>
      </c>
      <c r="B67">
        <v>17</v>
      </c>
      <c r="C67" t="s">
        <v>12</v>
      </c>
      <c r="D67" t="s">
        <v>46</v>
      </c>
      <c r="E67" t="s">
        <v>47</v>
      </c>
      <c r="F67">
        <v>12617</v>
      </c>
      <c r="G67">
        <v>12606</v>
      </c>
      <c r="H67">
        <v>9018</v>
      </c>
      <c r="I67" s="2">
        <f t="shared" ref="I67:I130" si="4">(F67-G67)/G67*100</f>
        <v>8.7260034904013961E-2</v>
      </c>
      <c r="J67" s="2">
        <f t="shared" ref="J67:J130" si="5">(F67-H67)/H67*100</f>
        <v>39.909070747394097</v>
      </c>
      <c r="K67" s="1">
        <f t="shared" ref="K67:K130" si="6">G67/F67</f>
        <v>0.99912816041848296</v>
      </c>
      <c r="L67" s="1">
        <f t="shared" ref="L67:L130" si="7">H67/F67</f>
        <v>0.71474994055639218</v>
      </c>
    </row>
    <row r="68" spans="1:12" x14ac:dyDescent="0.35">
      <c r="A68" t="s">
        <v>94</v>
      </c>
      <c r="B68">
        <v>17</v>
      </c>
      <c r="C68" t="s">
        <v>12</v>
      </c>
      <c r="D68" t="s">
        <v>45</v>
      </c>
      <c r="E68" t="s">
        <v>48</v>
      </c>
      <c r="F68">
        <v>19989</v>
      </c>
      <c r="G68">
        <v>15025</v>
      </c>
      <c r="H68">
        <v>10761</v>
      </c>
      <c r="I68" s="2">
        <f t="shared" si="4"/>
        <v>33.038269550748751</v>
      </c>
      <c r="J68" s="2">
        <f t="shared" si="5"/>
        <v>85.754112071368823</v>
      </c>
      <c r="K68" s="1">
        <f t="shared" si="6"/>
        <v>0.751663414878183</v>
      </c>
      <c r="L68" s="1">
        <f t="shared" si="7"/>
        <v>0.53834609034969239</v>
      </c>
    </row>
    <row r="69" spans="1:12" x14ac:dyDescent="0.35">
      <c r="A69" t="s">
        <v>94</v>
      </c>
      <c r="B69">
        <v>17</v>
      </c>
      <c r="C69" t="s">
        <v>12</v>
      </c>
      <c r="D69" t="s">
        <v>46</v>
      </c>
      <c r="E69" t="s">
        <v>48</v>
      </c>
      <c r="F69">
        <v>15614</v>
      </c>
      <c r="G69">
        <v>15785</v>
      </c>
      <c r="H69">
        <v>12047</v>
      </c>
      <c r="I69" s="2">
        <f t="shared" si="4"/>
        <v>-1.0833069369654735</v>
      </c>
      <c r="J69" s="2">
        <f t="shared" si="5"/>
        <v>29.609031294098116</v>
      </c>
      <c r="K69" s="1">
        <f t="shared" si="6"/>
        <v>1.0109517100038428</v>
      </c>
      <c r="L69" s="1">
        <f t="shared" si="7"/>
        <v>0.7715511720251057</v>
      </c>
    </row>
    <row r="70" spans="1:12" x14ac:dyDescent="0.35">
      <c r="A70" t="s">
        <v>103</v>
      </c>
      <c r="B70">
        <v>18</v>
      </c>
      <c r="C70" t="s">
        <v>13</v>
      </c>
      <c r="D70" t="s">
        <v>45</v>
      </c>
      <c r="E70" t="s">
        <v>47</v>
      </c>
      <c r="F70">
        <v>11580</v>
      </c>
      <c r="G70">
        <v>5218</v>
      </c>
      <c r="H70">
        <v>4961</v>
      </c>
      <c r="I70" s="2">
        <f t="shared" si="4"/>
        <v>121.92410885396703</v>
      </c>
      <c r="J70" s="2">
        <f t="shared" si="5"/>
        <v>133.42068131425117</v>
      </c>
      <c r="K70" s="1">
        <f t="shared" si="6"/>
        <v>0.45060449050086354</v>
      </c>
      <c r="L70" s="1">
        <f t="shared" si="7"/>
        <v>0.42841105354058723</v>
      </c>
    </row>
    <row r="71" spans="1:12" x14ac:dyDescent="0.35">
      <c r="A71" t="s">
        <v>103</v>
      </c>
      <c r="B71">
        <v>18</v>
      </c>
      <c r="C71" t="s">
        <v>13</v>
      </c>
      <c r="D71" t="s">
        <v>46</v>
      </c>
      <c r="E71" t="s">
        <v>47</v>
      </c>
      <c r="F71">
        <v>14035</v>
      </c>
      <c r="G71">
        <v>14211</v>
      </c>
      <c r="H71">
        <v>10885</v>
      </c>
      <c r="I71" s="2">
        <f t="shared" si="4"/>
        <v>-1.2384772359439871</v>
      </c>
      <c r="J71" s="2">
        <f t="shared" si="5"/>
        <v>28.938906752411576</v>
      </c>
      <c r="K71" s="1">
        <f t="shared" si="6"/>
        <v>1.0125400783754899</v>
      </c>
      <c r="L71" s="1">
        <f t="shared" si="7"/>
        <v>0.77556109725685785</v>
      </c>
    </row>
    <row r="72" spans="1:12" x14ac:dyDescent="0.35">
      <c r="A72" t="s">
        <v>103</v>
      </c>
      <c r="B72">
        <v>18</v>
      </c>
      <c r="C72" t="s">
        <v>13</v>
      </c>
      <c r="D72" t="s">
        <v>45</v>
      </c>
      <c r="E72" t="s">
        <v>48</v>
      </c>
      <c r="F72">
        <v>14049</v>
      </c>
      <c r="G72">
        <v>9519</v>
      </c>
      <c r="H72">
        <v>8033</v>
      </c>
      <c r="I72" s="2">
        <f t="shared" si="4"/>
        <v>47.589032461393003</v>
      </c>
      <c r="J72" s="2">
        <f t="shared" si="5"/>
        <v>74.891074318436452</v>
      </c>
      <c r="K72" s="1">
        <f t="shared" si="6"/>
        <v>0.67755712150330982</v>
      </c>
      <c r="L72" s="1">
        <f t="shared" si="7"/>
        <v>0.57178446864545518</v>
      </c>
    </row>
    <row r="73" spans="1:12" x14ac:dyDescent="0.35">
      <c r="A73" t="s">
        <v>103</v>
      </c>
      <c r="B73">
        <v>18</v>
      </c>
      <c r="C73" t="s">
        <v>13</v>
      </c>
      <c r="D73" t="s">
        <v>46</v>
      </c>
      <c r="E73" t="s">
        <v>48</v>
      </c>
      <c r="F73">
        <v>14173</v>
      </c>
      <c r="G73">
        <v>14234</v>
      </c>
      <c r="H73">
        <v>11106</v>
      </c>
      <c r="I73" s="2">
        <f t="shared" si="4"/>
        <v>-0.42855135590838839</v>
      </c>
      <c r="J73" s="2">
        <f t="shared" si="5"/>
        <v>27.6157032234828</v>
      </c>
      <c r="K73" s="1">
        <f t="shared" si="6"/>
        <v>1.0043039582304381</v>
      </c>
      <c r="L73" s="1">
        <f t="shared" si="7"/>
        <v>0.7836026247089537</v>
      </c>
    </row>
    <row r="74" spans="1:12" x14ac:dyDescent="0.35">
      <c r="A74" t="s">
        <v>89</v>
      </c>
      <c r="B74">
        <v>19</v>
      </c>
      <c r="C74" t="s">
        <v>14</v>
      </c>
      <c r="D74" t="s">
        <v>45</v>
      </c>
      <c r="E74" t="s">
        <v>47</v>
      </c>
      <c r="F74">
        <v>3402</v>
      </c>
      <c r="G74">
        <v>2109</v>
      </c>
      <c r="H74">
        <v>2132</v>
      </c>
      <c r="I74" s="2">
        <f t="shared" si="4"/>
        <v>61.308677098150788</v>
      </c>
      <c r="J74" s="2">
        <f t="shared" si="5"/>
        <v>59.568480300187623</v>
      </c>
      <c r="K74" s="1">
        <f t="shared" si="6"/>
        <v>0.61992945326278659</v>
      </c>
      <c r="L74" s="1">
        <f t="shared" si="7"/>
        <v>0.6266901822457378</v>
      </c>
    </row>
    <row r="75" spans="1:12" x14ac:dyDescent="0.35">
      <c r="A75" t="s">
        <v>89</v>
      </c>
      <c r="B75">
        <v>19</v>
      </c>
      <c r="C75" t="s">
        <v>14</v>
      </c>
      <c r="D75" t="s">
        <v>46</v>
      </c>
      <c r="E75" t="s">
        <v>47</v>
      </c>
      <c r="F75">
        <v>8659</v>
      </c>
      <c r="G75">
        <v>8613</v>
      </c>
      <c r="H75">
        <v>6233</v>
      </c>
      <c r="I75" s="2">
        <f t="shared" si="4"/>
        <v>0.53407639614536162</v>
      </c>
      <c r="J75" s="2">
        <f t="shared" si="5"/>
        <v>38.92186747954436</v>
      </c>
      <c r="K75" s="1">
        <f t="shared" si="6"/>
        <v>0.99468760826885316</v>
      </c>
      <c r="L75" s="1">
        <f t="shared" si="7"/>
        <v>0.71982907957038922</v>
      </c>
    </row>
    <row r="76" spans="1:12" x14ac:dyDescent="0.35">
      <c r="A76" t="s">
        <v>89</v>
      </c>
      <c r="B76">
        <v>19</v>
      </c>
      <c r="C76" t="s">
        <v>14</v>
      </c>
      <c r="D76" t="s">
        <v>45</v>
      </c>
      <c r="E76" t="s">
        <v>48</v>
      </c>
      <c r="F76">
        <v>4368</v>
      </c>
      <c r="G76">
        <v>3379</v>
      </c>
      <c r="H76">
        <v>2462</v>
      </c>
      <c r="I76" s="2">
        <f t="shared" si="4"/>
        <v>29.269014501331753</v>
      </c>
      <c r="J76" s="2">
        <f t="shared" si="5"/>
        <v>77.416734362307068</v>
      </c>
      <c r="K76" s="1">
        <f t="shared" si="6"/>
        <v>0.77358058608058611</v>
      </c>
      <c r="L76" s="1">
        <f t="shared" si="7"/>
        <v>0.56364468864468864</v>
      </c>
    </row>
    <row r="77" spans="1:12" x14ac:dyDescent="0.35">
      <c r="A77" t="s">
        <v>89</v>
      </c>
      <c r="B77">
        <v>19</v>
      </c>
      <c r="C77" t="s">
        <v>14</v>
      </c>
      <c r="D77" t="s">
        <v>46</v>
      </c>
      <c r="E77" t="s">
        <v>48</v>
      </c>
      <c r="F77">
        <v>10355</v>
      </c>
      <c r="G77">
        <v>10388</v>
      </c>
      <c r="H77">
        <v>7512</v>
      </c>
      <c r="I77" s="2">
        <f t="shared" si="4"/>
        <v>-0.31767423950712359</v>
      </c>
      <c r="J77" s="2">
        <f t="shared" si="5"/>
        <v>37.846112886048985</v>
      </c>
      <c r="K77" s="1">
        <f t="shared" si="6"/>
        <v>1.0031868662481893</v>
      </c>
      <c r="L77" s="1">
        <f t="shared" si="7"/>
        <v>0.72544664413326898</v>
      </c>
    </row>
    <row r="78" spans="1:12" x14ac:dyDescent="0.35">
      <c r="A78" t="s">
        <v>69</v>
      </c>
      <c r="B78">
        <v>20</v>
      </c>
      <c r="C78" t="s">
        <v>15</v>
      </c>
      <c r="D78" t="s">
        <v>45</v>
      </c>
      <c r="E78" t="s">
        <v>47</v>
      </c>
      <c r="F78">
        <v>6950</v>
      </c>
      <c r="G78">
        <v>4825</v>
      </c>
      <c r="H78">
        <v>4104</v>
      </c>
      <c r="I78" s="2">
        <f t="shared" si="4"/>
        <v>44.041450777202073</v>
      </c>
      <c r="J78" s="2">
        <f t="shared" si="5"/>
        <v>69.346978557504869</v>
      </c>
      <c r="K78" s="1">
        <f t="shared" si="6"/>
        <v>0.69424460431654678</v>
      </c>
      <c r="L78" s="1">
        <f t="shared" si="7"/>
        <v>0.59050359712230216</v>
      </c>
    </row>
    <row r="79" spans="1:12" x14ac:dyDescent="0.35">
      <c r="A79" t="s">
        <v>69</v>
      </c>
      <c r="B79">
        <v>20</v>
      </c>
      <c r="C79" t="s">
        <v>15</v>
      </c>
      <c r="D79" t="s">
        <v>46</v>
      </c>
      <c r="E79" t="s">
        <v>47</v>
      </c>
      <c r="F79">
        <v>8043</v>
      </c>
      <c r="G79">
        <v>8008</v>
      </c>
      <c r="H79">
        <v>5877</v>
      </c>
      <c r="I79" s="2">
        <f t="shared" si="4"/>
        <v>0.43706293706293708</v>
      </c>
      <c r="J79" s="2">
        <f t="shared" si="5"/>
        <v>36.855538540071464</v>
      </c>
      <c r="K79" s="1">
        <f t="shared" si="6"/>
        <v>0.99564838990426463</v>
      </c>
      <c r="L79" s="1">
        <f t="shared" si="7"/>
        <v>0.73069750093248786</v>
      </c>
    </row>
    <row r="80" spans="1:12" x14ac:dyDescent="0.35">
      <c r="A80" t="s">
        <v>69</v>
      </c>
      <c r="B80">
        <v>20</v>
      </c>
      <c r="C80" t="s">
        <v>15</v>
      </c>
      <c r="D80" t="s">
        <v>45</v>
      </c>
      <c r="E80" t="s">
        <v>48</v>
      </c>
      <c r="F80">
        <v>7873</v>
      </c>
      <c r="G80">
        <v>6839</v>
      </c>
      <c r="H80">
        <v>4754</v>
      </c>
      <c r="I80" s="2">
        <f t="shared" si="4"/>
        <v>15.119169469220648</v>
      </c>
      <c r="J80" s="2">
        <f t="shared" si="5"/>
        <v>65.607909129154393</v>
      </c>
      <c r="K80" s="1">
        <f t="shared" si="6"/>
        <v>0.86866505779245518</v>
      </c>
      <c r="L80" s="1">
        <f t="shared" si="7"/>
        <v>0.6038358948304331</v>
      </c>
    </row>
    <row r="81" spans="1:12" x14ac:dyDescent="0.35">
      <c r="A81" t="s">
        <v>69</v>
      </c>
      <c r="B81">
        <v>20</v>
      </c>
      <c r="C81" t="s">
        <v>15</v>
      </c>
      <c r="D81" t="s">
        <v>46</v>
      </c>
      <c r="E81" t="s">
        <v>48</v>
      </c>
      <c r="F81">
        <v>7619</v>
      </c>
      <c r="G81">
        <v>7575</v>
      </c>
      <c r="H81">
        <v>5096</v>
      </c>
      <c r="I81" s="2">
        <f t="shared" si="4"/>
        <v>0.58085808580858089</v>
      </c>
      <c r="J81" s="2">
        <f t="shared" si="5"/>
        <v>49.509419152276294</v>
      </c>
      <c r="K81" s="1">
        <f t="shared" si="6"/>
        <v>0.99422496390602444</v>
      </c>
      <c r="L81" s="1">
        <f t="shared" si="7"/>
        <v>0.66885418033862709</v>
      </c>
    </row>
    <row r="82" spans="1:12" x14ac:dyDescent="0.35">
      <c r="A82" t="s">
        <v>104</v>
      </c>
      <c r="B82">
        <v>21</v>
      </c>
      <c r="C82" t="s">
        <v>16</v>
      </c>
      <c r="D82" t="s">
        <v>45</v>
      </c>
      <c r="E82" t="s">
        <v>47</v>
      </c>
      <c r="F82">
        <v>6369</v>
      </c>
      <c r="G82">
        <v>2638</v>
      </c>
      <c r="H82">
        <v>2170</v>
      </c>
      <c r="I82" s="2">
        <f t="shared" si="4"/>
        <v>141.43290371493555</v>
      </c>
      <c r="J82" s="2">
        <f t="shared" si="5"/>
        <v>193.50230414746542</v>
      </c>
      <c r="K82" s="1">
        <f t="shared" si="6"/>
        <v>0.41419375098131572</v>
      </c>
      <c r="L82" s="1">
        <f t="shared" si="7"/>
        <v>0.34071282775945988</v>
      </c>
    </row>
    <row r="83" spans="1:12" x14ac:dyDescent="0.35">
      <c r="A83" t="s">
        <v>104</v>
      </c>
      <c r="B83">
        <v>21</v>
      </c>
      <c r="C83" t="s">
        <v>16</v>
      </c>
      <c r="D83" t="s">
        <v>46</v>
      </c>
      <c r="E83" t="s">
        <v>47</v>
      </c>
      <c r="F83">
        <v>6092</v>
      </c>
      <c r="G83">
        <v>6155</v>
      </c>
      <c r="H83">
        <v>4851</v>
      </c>
      <c r="I83" s="2">
        <f t="shared" si="4"/>
        <v>-1.0235580828594639</v>
      </c>
      <c r="J83" s="2">
        <f t="shared" si="5"/>
        <v>25.582354153782727</v>
      </c>
      <c r="K83" s="1">
        <f t="shared" si="6"/>
        <v>1.0103414313854235</v>
      </c>
      <c r="L83" s="1">
        <f t="shared" si="7"/>
        <v>0.79629021667761002</v>
      </c>
    </row>
    <row r="84" spans="1:12" x14ac:dyDescent="0.35">
      <c r="A84" t="s">
        <v>104</v>
      </c>
      <c r="B84">
        <v>21</v>
      </c>
      <c r="C84" t="s">
        <v>16</v>
      </c>
      <c r="D84" t="s">
        <v>45</v>
      </c>
      <c r="E84" t="s">
        <v>48</v>
      </c>
      <c r="F84">
        <v>9930</v>
      </c>
      <c r="G84">
        <v>5898</v>
      </c>
      <c r="H84">
        <v>4684</v>
      </c>
      <c r="I84" s="2">
        <f t="shared" si="4"/>
        <v>68.362156663275684</v>
      </c>
      <c r="J84" s="2">
        <f t="shared" si="5"/>
        <v>111.99829205807002</v>
      </c>
      <c r="K84" s="1">
        <f t="shared" si="6"/>
        <v>0.59395770392749248</v>
      </c>
      <c r="L84" s="1">
        <f t="shared" si="7"/>
        <v>0.47170191339375628</v>
      </c>
    </row>
    <row r="85" spans="1:12" x14ac:dyDescent="0.35">
      <c r="A85" t="s">
        <v>104</v>
      </c>
      <c r="B85">
        <v>21</v>
      </c>
      <c r="C85" t="s">
        <v>16</v>
      </c>
      <c r="D85" t="s">
        <v>46</v>
      </c>
      <c r="E85" t="s">
        <v>48</v>
      </c>
      <c r="F85">
        <v>6886</v>
      </c>
      <c r="G85">
        <v>6966</v>
      </c>
      <c r="H85">
        <v>5595</v>
      </c>
      <c r="I85" s="2">
        <f t="shared" si="4"/>
        <v>-1.1484352569623888</v>
      </c>
      <c r="J85" s="2">
        <f t="shared" si="5"/>
        <v>23.074173369079535</v>
      </c>
      <c r="K85" s="1">
        <f t="shared" si="6"/>
        <v>1.01161777519605</v>
      </c>
      <c r="L85" s="1">
        <f t="shared" si="7"/>
        <v>0.81251815277374384</v>
      </c>
    </row>
    <row r="86" spans="1:12" x14ac:dyDescent="0.35">
      <c r="A86" t="s">
        <v>73</v>
      </c>
      <c r="B86">
        <v>22</v>
      </c>
      <c r="C86" t="s">
        <v>17</v>
      </c>
      <c r="D86" t="s">
        <v>45</v>
      </c>
      <c r="E86" t="s">
        <v>47</v>
      </c>
      <c r="F86">
        <v>2771</v>
      </c>
      <c r="G86">
        <v>1579</v>
      </c>
      <c r="H86">
        <v>1470</v>
      </c>
      <c r="I86" s="2">
        <f t="shared" si="4"/>
        <v>75.490816972767576</v>
      </c>
      <c r="J86" s="2">
        <f t="shared" si="5"/>
        <v>88.503401360544217</v>
      </c>
      <c r="K86" s="1">
        <f t="shared" si="6"/>
        <v>0.56983038614218695</v>
      </c>
      <c r="L86" s="1">
        <f t="shared" si="7"/>
        <v>0.53049440635149769</v>
      </c>
    </row>
    <row r="87" spans="1:12" x14ac:dyDescent="0.35">
      <c r="A87" t="s">
        <v>73</v>
      </c>
      <c r="B87">
        <v>22</v>
      </c>
      <c r="C87" t="s">
        <v>17</v>
      </c>
      <c r="D87" t="s">
        <v>46</v>
      </c>
      <c r="E87" t="s">
        <v>47</v>
      </c>
      <c r="F87">
        <v>4950</v>
      </c>
      <c r="G87">
        <v>4954</v>
      </c>
      <c r="H87">
        <v>3500</v>
      </c>
      <c r="I87" s="2">
        <f t="shared" si="4"/>
        <v>-8.0742834073475975E-2</v>
      </c>
      <c r="J87" s="2">
        <f t="shared" si="5"/>
        <v>41.428571428571431</v>
      </c>
      <c r="K87" s="1">
        <f t="shared" si="6"/>
        <v>1.0008080808080808</v>
      </c>
      <c r="L87" s="1">
        <f t="shared" si="7"/>
        <v>0.70707070707070707</v>
      </c>
    </row>
    <row r="88" spans="1:12" x14ac:dyDescent="0.35">
      <c r="A88" t="s">
        <v>73</v>
      </c>
      <c r="B88">
        <v>22</v>
      </c>
      <c r="C88" t="s">
        <v>17</v>
      </c>
      <c r="D88" t="s">
        <v>45</v>
      </c>
      <c r="E88" t="s">
        <v>48</v>
      </c>
      <c r="F88">
        <v>3893</v>
      </c>
      <c r="G88">
        <v>2840</v>
      </c>
      <c r="H88">
        <v>2166</v>
      </c>
      <c r="I88" s="2">
        <f t="shared" si="4"/>
        <v>37.077464788732392</v>
      </c>
      <c r="J88" s="2">
        <f t="shared" si="5"/>
        <v>79.732225300092338</v>
      </c>
      <c r="K88" s="1">
        <f t="shared" si="6"/>
        <v>0.72951451322887229</v>
      </c>
      <c r="L88" s="1">
        <f t="shared" si="7"/>
        <v>0.55638325199075267</v>
      </c>
    </row>
    <row r="89" spans="1:12" x14ac:dyDescent="0.35">
      <c r="A89" t="s">
        <v>73</v>
      </c>
      <c r="B89">
        <v>22</v>
      </c>
      <c r="C89" t="s">
        <v>17</v>
      </c>
      <c r="D89" t="s">
        <v>46</v>
      </c>
      <c r="E89" t="s">
        <v>48</v>
      </c>
      <c r="F89">
        <v>5835</v>
      </c>
      <c r="G89">
        <v>5801</v>
      </c>
      <c r="H89">
        <v>4593</v>
      </c>
      <c r="I89" s="2">
        <f t="shared" si="4"/>
        <v>0.58610584382003095</v>
      </c>
      <c r="J89" s="2">
        <f t="shared" si="5"/>
        <v>27.041149575440887</v>
      </c>
      <c r="K89" s="1">
        <f t="shared" si="6"/>
        <v>0.9941730934018852</v>
      </c>
      <c r="L89" s="1">
        <f t="shared" si="7"/>
        <v>0.78714652956298203</v>
      </c>
    </row>
    <row r="90" spans="1:12" x14ac:dyDescent="0.35">
      <c r="A90" t="s">
        <v>105</v>
      </c>
      <c r="B90">
        <v>23</v>
      </c>
      <c r="C90" t="s">
        <v>59</v>
      </c>
      <c r="D90" t="s">
        <v>45</v>
      </c>
      <c r="E90" t="s">
        <v>47</v>
      </c>
      <c r="F90">
        <v>2229</v>
      </c>
      <c r="G90">
        <v>1199</v>
      </c>
      <c r="H90">
        <v>1016</v>
      </c>
      <c r="I90" s="2">
        <f t="shared" si="4"/>
        <v>85.904920767306095</v>
      </c>
      <c r="J90" s="2">
        <f t="shared" si="5"/>
        <v>119.38976377952757</v>
      </c>
      <c r="K90" s="1">
        <f t="shared" si="6"/>
        <v>0.537909376401974</v>
      </c>
      <c r="L90" s="1">
        <f t="shared" si="7"/>
        <v>0.45580978017048002</v>
      </c>
    </row>
    <row r="91" spans="1:12" x14ac:dyDescent="0.35">
      <c r="A91" t="s">
        <v>105</v>
      </c>
      <c r="B91">
        <v>23</v>
      </c>
      <c r="C91" t="s">
        <v>59</v>
      </c>
      <c r="D91" t="s">
        <v>46</v>
      </c>
      <c r="E91" t="s">
        <v>47</v>
      </c>
      <c r="F91">
        <v>9070</v>
      </c>
      <c r="G91">
        <v>9048</v>
      </c>
      <c r="H91">
        <v>7442</v>
      </c>
      <c r="I91" s="2">
        <f t="shared" si="4"/>
        <v>0.2431476569407604</v>
      </c>
      <c r="J91" s="2">
        <f t="shared" si="5"/>
        <v>21.875839828003222</v>
      </c>
      <c r="K91" s="1">
        <f t="shared" si="6"/>
        <v>0.997574421168688</v>
      </c>
      <c r="L91" s="1">
        <f t="shared" si="7"/>
        <v>0.82050716648291067</v>
      </c>
    </row>
    <row r="92" spans="1:12" x14ac:dyDescent="0.35">
      <c r="A92" t="s">
        <v>105</v>
      </c>
      <c r="B92">
        <v>23</v>
      </c>
      <c r="C92" t="s">
        <v>59</v>
      </c>
      <c r="D92" t="s">
        <v>45</v>
      </c>
      <c r="E92" t="s">
        <v>48</v>
      </c>
      <c r="F92">
        <v>3464</v>
      </c>
      <c r="G92">
        <v>2558</v>
      </c>
      <c r="H92">
        <v>2109</v>
      </c>
      <c r="I92" s="2">
        <f t="shared" si="4"/>
        <v>35.418295543393278</v>
      </c>
      <c r="J92" s="2">
        <f t="shared" si="5"/>
        <v>64.248458985301099</v>
      </c>
      <c r="K92" s="1">
        <f t="shared" si="6"/>
        <v>0.73845265588914555</v>
      </c>
      <c r="L92" s="1">
        <f t="shared" si="7"/>
        <v>0.6088337182448037</v>
      </c>
    </row>
    <row r="93" spans="1:12" x14ac:dyDescent="0.35">
      <c r="A93" t="s">
        <v>105</v>
      </c>
      <c r="B93">
        <v>23</v>
      </c>
      <c r="C93" t="s">
        <v>59</v>
      </c>
      <c r="D93" t="s">
        <v>46</v>
      </c>
      <c r="E93" t="s">
        <v>48</v>
      </c>
      <c r="F93">
        <v>6781</v>
      </c>
      <c r="G93">
        <v>6840</v>
      </c>
      <c r="H93">
        <v>5638</v>
      </c>
      <c r="I93" s="2">
        <f t="shared" si="4"/>
        <v>-0.86257309941520466</v>
      </c>
      <c r="J93" s="2">
        <f t="shared" si="5"/>
        <v>20.273146505853141</v>
      </c>
      <c r="K93" s="1">
        <f t="shared" si="6"/>
        <v>1.0087007815956348</v>
      </c>
      <c r="L93" s="1">
        <f t="shared" si="7"/>
        <v>0.8314407904438873</v>
      </c>
    </row>
    <row r="94" spans="1:12" x14ac:dyDescent="0.35">
      <c r="A94" t="s">
        <v>79</v>
      </c>
      <c r="B94">
        <v>24</v>
      </c>
      <c r="C94" t="s">
        <v>60</v>
      </c>
      <c r="D94" t="s">
        <v>45</v>
      </c>
      <c r="E94" t="s">
        <v>47</v>
      </c>
      <c r="F94">
        <v>2761</v>
      </c>
      <c r="G94">
        <v>1300</v>
      </c>
      <c r="H94">
        <v>1256</v>
      </c>
      <c r="I94" s="2">
        <f t="shared" si="4"/>
        <v>112.38461538461539</v>
      </c>
      <c r="J94" s="2">
        <f t="shared" si="5"/>
        <v>119.82484076433121</v>
      </c>
      <c r="K94" s="1">
        <f t="shared" si="6"/>
        <v>0.47084389713871788</v>
      </c>
      <c r="L94" s="1">
        <f t="shared" si="7"/>
        <v>0.45490764215863816</v>
      </c>
    </row>
    <row r="95" spans="1:12" x14ac:dyDescent="0.35">
      <c r="A95" t="s">
        <v>79</v>
      </c>
      <c r="B95">
        <v>24</v>
      </c>
      <c r="C95" t="s">
        <v>60</v>
      </c>
      <c r="D95" t="s">
        <v>46</v>
      </c>
      <c r="E95" t="s">
        <v>47</v>
      </c>
      <c r="F95">
        <v>6923</v>
      </c>
      <c r="G95">
        <v>6927</v>
      </c>
      <c r="H95">
        <v>5305</v>
      </c>
      <c r="I95" s="2">
        <f t="shared" si="4"/>
        <v>-5.7745055579615991E-2</v>
      </c>
      <c r="J95" s="2">
        <f t="shared" si="5"/>
        <v>30.4995287464656</v>
      </c>
      <c r="K95" s="1">
        <f t="shared" si="6"/>
        <v>1.0005777841976022</v>
      </c>
      <c r="L95" s="1">
        <f t="shared" si="7"/>
        <v>0.76628629206991183</v>
      </c>
    </row>
    <row r="96" spans="1:12" x14ac:dyDescent="0.35">
      <c r="A96" t="s">
        <v>79</v>
      </c>
      <c r="B96">
        <v>24</v>
      </c>
      <c r="C96" t="s">
        <v>60</v>
      </c>
      <c r="D96" t="s">
        <v>45</v>
      </c>
      <c r="E96" t="s">
        <v>48</v>
      </c>
      <c r="F96">
        <v>3521</v>
      </c>
      <c r="G96">
        <v>2398</v>
      </c>
      <c r="H96">
        <v>1928</v>
      </c>
      <c r="I96" s="2">
        <f t="shared" si="4"/>
        <v>46.830692243536284</v>
      </c>
      <c r="J96" s="2">
        <f t="shared" si="5"/>
        <v>82.624481327800822</v>
      </c>
      <c r="K96" s="1">
        <f t="shared" si="6"/>
        <v>0.68105651803464928</v>
      </c>
      <c r="L96" s="1">
        <f t="shared" si="7"/>
        <v>0.54757171258165294</v>
      </c>
    </row>
    <row r="97" spans="1:12" x14ac:dyDescent="0.35">
      <c r="A97" t="s">
        <v>79</v>
      </c>
      <c r="B97">
        <v>24</v>
      </c>
      <c r="C97" t="s">
        <v>60</v>
      </c>
      <c r="D97" t="s">
        <v>46</v>
      </c>
      <c r="E97" t="s">
        <v>48</v>
      </c>
      <c r="F97">
        <v>6960</v>
      </c>
      <c r="G97">
        <v>6969</v>
      </c>
      <c r="H97">
        <v>5664</v>
      </c>
      <c r="I97" s="2">
        <f t="shared" si="4"/>
        <v>-0.12914334911752046</v>
      </c>
      <c r="J97" s="2">
        <f t="shared" si="5"/>
        <v>22.881355932203391</v>
      </c>
      <c r="K97" s="1">
        <f t="shared" si="6"/>
        <v>1.0012931034482759</v>
      </c>
      <c r="L97" s="1">
        <f t="shared" si="7"/>
        <v>0.81379310344827582</v>
      </c>
    </row>
    <row r="98" spans="1:12" x14ac:dyDescent="0.35">
      <c r="A98" t="s">
        <v>95</v>
      </c>
      <c r="B98">
        <v>25</v>
      </c>
      <c r="C98" t="s">
        <v>18</v>
      </c>
      <c r="D98" t="s">
        <v>45</v>
      </c>
      <c r="E98" t="s">
        <v>47</v>
      </c>
      <c r="F98">
        <v>8775</v>
      </c>
      <c r="G98">
        <v>5879</v>
      </c>
      <c r="H98">
        <v>5078</v>
      </c>
      <c r="I98" s="2">
        <f t="shared" si="4"/>
        <v>49.26007824459942</v>
      </c>
      <c r="J98" s="2">
        <f t="shared" si="5"/>
        <v>72.804253643166604</v>
      </c>
      <c r="K98" s="1">
        <f t="shared" si="6"/>
        <v>0.66997150997151</v>
      </c>
      <c r="L98" s="1">
        <f t="shared" si="7"/>
        <v>0.57868945868945865</v>
      </c>
    </row>
    <row r="99" spans="1:12" x14ac:dyDescent="0.35">
      <c r="A99" t="s">
        <v>95</v>
      </c>
      <c r="B99">
        <v>25</v>
      </c>
      <c r="C99" t="s">
        <v>18</v>
      </c>
      <c r="D99" t="s">
        <v>46</v>
      </c>
      <c r="E99" t="s">
        <v>47</v>
      </c>
      <c r="F99">
        <v>7381</v>
      </c>
      <c r="G99">
        <v>7392</v>
      </c>
      <c r="H99">
        <v>5400</v>
      </c>
      <c r="I99" s="2">
        <f t="shared" si="4"/>
        <v>-0.14880952380952381</v>
      </c>
      <c r="J99" s="2">
        <f t="shared" si="5"/>
        <v>36.68518518518519</v>
      </c>
      <c r="K99" s="1">
        <f t="shared" si="6"/>
        <v>1.0014903129657229</v>
      </c>
      <c r="L99" s="1">
        <f t="shared" si="7"/>
        <v>0.73160818317301179</v>
      </c>
    </row>
    <row r="100" spans="1:12" x14ac:dyDescent="0.35">
      <c r="A100" t="s">
        <v>95</v>
      </c>
      <c r="B100">
        <v>25</v>
      </c>
      <c r="C100" t="s">
        <v>18</v>
      </c>
      <c r="D100" t="s">
        <v>45</v>
      </c>
      <c r="E100" t="s">
        <v>48</v>
      </c>
      <c r="F100">
        <v>10113</v>
      </c>
      <c r="G100">
        <v>8089</v>
      </c>
      <c r="H100">
        <v>5677</v>
      </c>
      <c r="I100" s="2">
        <f t="shared" si="4"/>
        <v>25.021634318209912</v>
      </c>
      <c r="J100" s="2">
        <f t="shared" si="5"/>
        <v>78.139862603487757</v>
      </c>
      <c r="K100" s="1">
        <f t="shared" si="6"/>
        <v>0.79986156432314848</v>
      </c>
      <c r="L100" s="1">
        <f t="shared" si="7"/>
        <v>0.56135666963314546</v>
      </c>
    </row>
    <row r="101" spans="1:12" x14ac:dyDescent="0.35">
      <c r="A101" t="s">
        <v>95</v>
      </c>
      <c r="B101">
        <v>25</v>
      </c>
      <c r="C101" t="s">
        <v>18</v>
      </c>
      <c r="D101" t="s">
        <v>46</v>
      </c>
      <c r="E101" t="s">
        <v>48</v>
      </c>
      <c r="F101">
        <v>8867</v>
      </c>
      <c r="G101">
        <v>8916</v>
      </c>
      <c r="H101">
        <v>6526</v>
      </c>
      <c r="I101" s="2">
        <f t="shared" si="4"/>
        <v>-0.54957379991027366</v>
      </c>
      <c r="J101" s="2">
        <f t="shared" si="5"/>
        <v>35.871897027275509</v>
      </c>
      <c r="K101" s="1">
        <f t="shared" si="6"/>
        <v>1.0055261080410511</v>
      </c>
      <c r="L101" s="1">
        <f t="shared" si="7"/>
        <v>0.73598736889590621</v>
      </c>
    </row>
    <row r="102" spans="1:12" x14ac:dyDescent="0.35">
      <c r="A102" t="s">
        <v>72</v>
      </c>
      <c r="B102">
        <v>26</v>
      </c>
      <c r="C102" t="s">
        <v>19</v>
      </c>
      <c r="D102" t="s">
        <v>45</v>
      </c>
      <c r="E102" t="s">
        <v>47</v>
      </c>
      <c r="F102">
        <v>3417</v>
      </c>
      <c r="G102">
        <v>2154</v>
      </c>
      <c r="H102">
        <v>2050</v>
      </c>
      <c r="I102" s="2">
        <f t="shared" si="4"/>
        <v>58.635097493036213</v>
      </c>
      <c r="J102" s="2">
        <f t="shared" si="5"/>
        <v>66.682926829268297</v>
      </c>
      <c r="K102" s="1">
        <f t="shared" si="6"/>
        <v>0.63037752414398596</v>
      </c>
      <c r="L102" s="1">
        <f t="shared" si="7"/>
        <v>0.59994146912496338</v>
      </c>
    </row>
    <row r="103" spans="1:12" x14ac:dyDescent="0.35">
      <c r="A103" t="s">
        <v>72</v>
      </c>
      <c r="B103">
        <v>26</v>
      </c>
      <c r="C103" t="s">
        <v>19</v>
      </c>
      <c r="D103" t="s">
        <v>46</v>
      </c>
      <c r="E103" t="s">
        <v>47</v>
      </c>
      <c r="F103">
        <v>5148</v>
      </c>
      <c r="G103">
        <v>5123</v>
      </c>
      <c r="H103">
        <v>3593</v>
      </c>
      <c r="I103" s="2">
        <f t="shared" si="4"/>
        <v>0.48799531524497364</v>
      </c>
      <c r="J103" s="2">
        <f t="shared" si="5"/>
        <v>43.278597272474258</v>
      </c>
      <c r="K103" s="1">
        <f t="shared" si="6"/>
        <v>0.99514374514374515</v>
      </c>
      <c r="L103" s="1">
        <f t="shared" si="7"/>
        <v>0.69794094794094796</v>
      </c>
    </row>
    <row r="104" spans="1:12" x14ac:dyDescent="0.35">
      <c r="A104" t="s">
        <v>72</v>
      </c>
      <c r="B104">
        <v>26</v>
      </c>
      <c r="C104" t="s">
        <v>19</v>
      </c>
      <c r="D104" t="s">
        <v>45</v>
      </c>
      <c r="E104" t="s">
        <v>48</v>
      </c>
      <c r="F104">
        <v>4865</v>
      </c>
      <c r="G104">
        <v>3482</v>
      </c>
      <c r="H104">
        <v>2845</v>
      </c>
      <c r="I104" s="2">
        <f t="shared" si="4"/>
        <v>39.718552556002294</v>
      </c>
      <c r="J104" s="2">
        <f t="shared" si="5"/>
        <v>71.001757469244282</v>
      </c>
      <c r="K104" s="1">
        <f t="shared" si="6"/>
        <v>0.71572456320657762</v>
      </c>
      <c r="L104" s="1">
        <f t="shared" si="7"/>
        <v>0.58478931140801649</v>
      </c>
    </row>
    <row r="105" spans="1:12" x14ac:dyDescent="0.35">
      <c r="A105" t="s">
        <v>72</v>
      </c>
      <c r="B105">
        <v>26</v>
      </c>
      <c r="C105" t="s">
        <v>19</v>
      </c>
      <c r="D105" t="s">
        <v>46</v>
      </c>
      <c r="E105" t="s">
        <v>48</v>
      </c>
      <c r="F105">
        <v>5112</v>
      </c>
      <c r="G105">
        <v>5074</v>
      </c>
      <c r="H105">
        <v>3771</v>
      </c>
      <c r="I105" s="2">
        <f t="shared" si="4"/>
        <v>0.74891604256996458</v>
      </c>
      <c r="J105" s="2">
        <f t="shared" si="5"/>
        <v>35.56085918854415</v>
      </c>
      <c r="K105" s="1">
        <f t="shared" si="6"/>
        <v>0.99256651017214392</v>
      </c>
      <c r="L105" s="1">
        <f t="shared" si="7"/>
        <v>0.73767605633802813</v>
      </c>
    </row>
    <row r="106" spans="1:12" x14ac:dyDescent="0.35">
      <c r="A106" t="s">
        <v>63</v>
      </c>
      <c r="B106">
        <v>27</v>
      </c>
      <c r="C106" t="s">
        <v>20</v>
      </c>
      <c r="D106" t="s">
        <v>45</v>
      </c>
      <c r="E106" t="s">
        <v>47</v>
      </c>
      <c r="F106">
        <v>1848</v>
      </c>
      <c r="G106">
        <v>1029</v>
      </c>
      <c r="H106">
        <v>939</v>
      </c>
      <c r="I106" s="2">
        <f t="shared" si="4"/>
        <v>79.591836734693871</v>
      </c>
      <c r="J106" s="2">
        <f t="shared" si="5"/>
        <v>96.805111821086271</v>
      </c>
      <c r="K106" s="1">
        <f t="shared" si="6"/>
        <v>0.55681818181818177</v>
      </c>
      <c r="L106" s="1">
        <f t="shared" si="7"/>
        <v>0.50811688311688308</v>
      </c>
    </row>
    <row r="107" spans="1:12" x14ac:dyDescent="0.35">
      <c r="A107" t="s">
        <v>63</v>
      </c>
      <c r="B107">
        <v>27</v>
      </c>
      <c r="C107" t="s">
        <v>20</v>
      </c>
      <c r="D107" t="s">
        <v>46</v>
      </c>
      <c r="E107" t="s">
        <v>47</v>
      </c>
      <c r="F107">
        <v>4508</v>
      </c>
      <c r="G107">
        <v>4504</v>
      </c>
      <c r="H107">
        <v>3342</v>
      </c>
      <c r="I107" s="2">
        <f t="shared" si="4"/>
        <v>8.8809946714031973E-2</v>
      </c>
      <c r="J107" s="2">
        <f t="shared" si="5"/>
        <v>34.889287851585877</v>
      </c>
      <c r="K107" s="1">
        <f t="shared" si="6"/>
        <v>0.99911268855368229</v>
      </c>
      <c r="L107" s="1">
        <f t="shared" si="7"/>
        <v>0.7413487133984028</v>
      </c>
    </row>
    <row r="108" spans="1:12" x14ac:dyDescent="0.35">
      <c r="A108" t="s">
        <v>63</v>
      </c>
      <c r="B108">
        <v>27</v>
      </c>
      <c r="C108" t="s">
        <v>20</v>
      </c>
      <c r="D108" t="s">
        <v>45</v>
      </c>
      <c r="E108" t="s">
        <v>48</v>
      </c>
      <c r="F108">
        <v>3019</v>
      </c>
      <c r="G108">
        <v>2250</v>
      </c>
      <c r="H108">
        <v>1846</v>
      </c>
      <c r="I108" s="2">
        <f t="shared" si="4"/>
        <v>34.177777777777777</v>
      </c>
      <c r="J108" s="2">
        <f t="shared" si="5"/>
        <v>63.542795232936079</v>
      </c>
      <c r="K108" s="1">
        <f t="shared" si="6"/>
        <v>0.74527989400463734</v>
      </c>
      <c r="L108" s="1">
        <f t="shared" si="7"/>
        <v>0.61146074859224908</v>
      </c>
    </row>
    <row r="109" spans="1:12" x14ac:dyDescent="0.35">
      <c r="A109" t="s">
        <v>63</v>
      </c>
      <c r="B109">
        <v>27</v>
      </c>
      <c r="C109" t="s">
        <v>20</v>
      </c>
      <c r="D109" t="s">
        <v>46</v>
      </c>
      <c r="E109" t="s">
        <v>48</v>
      </c>
      <c r="F109">
        <v>4913</v>
      </c>
      <c r="G109">
        <v>4919</v>
      </c>
      <c r="H109">
        <v>3714</v>
      </c>
      <c r="I109" s="2">
        <f t="shared" si="4"/>
        <v>-0.12197601138442773</v>
      </c>
      <c r="J109" s="2">
        <f t="shared" si="5"/>
        <v>32.283252557889071</v>
      </c>
      <c r="K109" s="1">
        <f t="shared" si="6"/>
        <v>1.001221249745573</v>
      </c>
      <c r="L109" s="1">
        <f t="shared" si="7"/>
        <v>0.7559535925096682</v>
      </c>
    </row>
    <row r="110" spans="1:12" x14ac:dyDescent="0.35">
      <c r="A110" t="s">
        <v>76</v>
      </c>
      <c r="B110">
        <v>28</v>
      </c>
      <c r="C110" t="s">
        <v>21</v>
      </c>
      <c r="D110" t="s">
        <v>45</v>
      </c>
      <c r="E110" t="s">
        <v>47</v>
      </c>
      <c r="F110">
        <v>129015</v>
      </c>
      <c r="G110">
        <v>89923</v>
      </c>
      <c r="H110">
        <v>70569</v>
      </c>
      <c r="I110" s="2">
        <f t="shared" si="4"/>
        <v>43.472748907398554</v>
      </c>
      <c r="J110" s="2">
        <f t="shared" si="5"/>
        <v>82.821068741231983</v>
      </c>
      <c r="K110" s="1">
        <f t="shared" si="6"/>
        <v>0.69699647327830094</v>
      </c>
      <c r="L110" s="1">
        <f t="shared" si="7"/>
        <v>0.54698290896407398</v>
      </c>
    </row>
    <row r="111" spans="1:12" x14ac:dyDescent="0.35">
      <c r="A111" t="s">
        <v>76</v>
      </c>
      <c r="B111">
        <v>28</v>
      </c>
      <c r="C111" t="s">
        <v>21</v>
      </c>
      <c r="D111" t="s">
        <v>46</v>
      </c>
      <c r="E111" t="s">
        <v>47</v>
      </c>
      <c r="F111">
        <v>105348</v>
      </c>
      <c r="G111">
        <v>106003</v>
      </c>
      <c r="H111">
        <v>78600</v>
      </c>
      <c r="I111" s="2">
        <f t="shared" si="4"/>
        <v>-0.61790704036678201</v>
      </c>
      <c r="J111" s="2">
        <f t="shared" si="5"/>
        <v>34.030534351145036</v>
      </c>
      <c r="K111" s="1">
        <f t="shared" si="6"/>
        <v>1.0062174887041044</v>
      </c>
      <c r="L111" s="1">
        <f t="shared" si="7"/>
        <v>0.74609864449253904</v>
      </c>
    </row>
    <row r="112" spans="1:12" x14ac:dyDescent="0.35">
      <c r="A112" t="s">
        <v>76</v>
      </c>
      <c r="B112">
        <v>28</v>
      </c>
      <c r="C112" t="s">
        <v>21</v>
      </c>
      <c r="D112" t="s">
        <v>45</v>
      </c>
      <c r="E112" t="s">
        <v>48</v>
      </c>
      <c r="F112">
        <v>161784</v>
      </c>
      <c r="G112">
        <v>121090</v>
      </c>
      <c r="H112">
        <v>98870</v>
      </c>
      <c r="I112" s="2">
        <f t="shared" si="4"/>
        <v>33.606408456519944</v>
      </c>
      <c r="J112" s="2">
        <f t="shared" si="5"/>
        <v>63.633053504602003</v>
      </c>
      <c r="K112" s="1">
        <f t="shared" si="6"/>
        <v>0.7484670919250358</v>
      </c>
      <c r="L112" s="1">
        <f t="shared" si="7"/>
        <v>0.61112347327300598</v>
      </c>
    </row>
    <row r="113" spans="1:12" x14ac:dyDescent="0.35">
      <c r="A113" t="s">
        <v>76</v>
      </c>
      <c r="B113">
        <v>28</v>
      </c>
      <c r="C113" t="s">
        <v>21</v>
      </c>
      <c r="D113" t="s">
        <v>46</v>
      </c>
      <c r="E113" t="s">
        <v>48</v>
      </c>
      <c r="F113">
        <v>89383</v>
      </c>
      <c r="G113">
        <v>89702</v>
      </c>
      <c r="H113">
        <v>62546</v>
      </c>
      <c r="I113" s="2">
        <f t="shared" si="4"/>
        <v>-0.35562194822857907</v>
      </c>
      <c r="J113" s="2">
        <f t="shared" si="5"/>
        <v>42.907619991686119</v>
      </c>
      <c r="K113" s="1">
        <f t="shared" si="6"/>
        <v>1.0035689113142321</v>
      </c>
      <c r="L113" s="1">
        <f t="shared" si="7"/>
        <v>0.69975274940424914</v>
      </c>
    </row>
    <row r="114" spans="1:12" x14ac:dyDescent="0.35">
      <c r="A114" t="s">
        <v>106</v>
      </c>
      <c r="B114">
        <v>29</v>
      </c>
      <c r="C114" t="s">
        <v>61</v>
      </c>
      <c r="D114" t="s">
        <v>45</v>
      </c>
      <c r="E114" t="s">
        <v>47</v>
      </c>
      <c r="F114">
        <v>35019</v>
      </c>
      <c r="G114">
        <v>20678</v>
      </c>
      <c r="H114">
        <v>19236</v>
      </c>
      <c r="I114" s="2">
        <f t="shared" si="4"/>
        <v>69.353902698520159</v>
      </c>
      <c r="J114" s="2">
        <f t="shared" si="5"/>
        <v>82.049282595134116</v>
      </c>
      <c r="K114" s="1">
        <f t="shared" si="6"/>
        <v>0.59047945401067992</v>
      </c>
      <c r="L114" s="1">
        <f t="shared" si="7"/>
        <v>0.54930180759016534</v>
      </c>
    </row>
    <row r="115" spans="1:12" x14ac:dyDescent="0.35">
      <c r="A115" t="s">
        <v>106</v>
      </c>
      <c r="B115">
        <v>29</v>
      </c>
      <c r="C115" t="s">
        <v>61</v>
      </c>
      <c r="D115" t="s">
        <v>46</v>
      </c>
      <c r="E115" t="s">
        <v>47</v>
      </c>
      <c r="F115">
        <v>20382</v>
      </c>
      <c r="G115">
        <v>20460</v>
      </c>
      <c r="H115">
        <v>14533</v>
      </c>
      <c r="I115" s="2">
        <f t="shared" si="4"/>
        <v>-0.38123167155425219</v>
      </c>
      <c r="J115" s="2">
        <f t="shared" si="5"/>
        <v>40.246335925135895</v>
      </c>
      <c r="K115" s="1">
        <f t="shared" si="6"/>
        <v>1.003826906093612</v>
      </c>
      <c r="L115" s="1">
        <f t="shared" si="7"/>
        <v>0.71303110587773522</v>
      </c>
    </row>
    <row r="116" spans="1:12" x14ac:dyDescent="0.35">
      <c r="A116" t="s">
        <v>106</v>
      </c>
      <c r="B116">
        <v>29</v>
      </c>
      <c r="C116" t="s">
        <v>61</v>
      </c>
      <c r="D116" t="s">
        <v>45</v>
      </c>
      <c r="E116" t="s">
        <v>48</v>
      </c>
      <c r="F116">
        <v>48942</v>
      </c>
      <c r="G116">
        <v>38655</v>
      </c>
      <c r="H116">
        <v>31816</v>
      </c>
      <c r="I116" s="2">
        <f t="shared" si="4"/>
        <v>26.612339930151339</v>
      </c>
      <c r="J116" s="2">
        <f t="shared" si="5"/>
        <v>53.828262509429216</v>
      </c>
      <c r="K116" s="1">
        <f t="shared" si="6"/>
        <v>0.78981243104082388</v>
      </c>
      <c r="L116" s="1">
        <f t="shared" si="7"/>
        <v>0.6500755996894283</v>
      </c>
    </row>
    <row r="117" spans="1:12" x14ac:dyDescent="0.35">
      <c r="A117" t="s">
        <v>106</v>
      </c>
      <c r="B117">
        <v>29</v>
      </c>
      <c r="C117" t="s">
        <v>61</v>
      </c>
      <c r="D117" t="s">
        <v>46</v>
      </c>
      <c r="E117" t="s">
        <v>48</v>
      </c>
      <c r="F117">
        <v>25618</v>
      </c>
      <c r="G117">
        <v>25894</v>
      </c>
      <c r="H117">
        <v>19526</v>
      </c>
      <c r="I117" s="2">
        <f t="shared" si="4"/>
        <v>-1.0658839885687805</v>
      </c>
      <c r="J117" s="2">
        <f t="shared" si="5"/>
        <v>31.199426405817881</v>
      </c>
      <c r="K117" s="1">
        <f t="shared" si="6"/>
        <v>1.0107736747599345</v>
      </c>
      <c r="L117" s="1">
        <f t="shared" si="7"/>
        <v>0.76219845421188226</v>
      </c>
    </row>
    <row r="118" spans="1:12" x14ac:dyDescent="0.35">
      <c r="A118" t="s">
        <v>108</v>
      </c>
      <c r="B118">
        <v>30</v>
      </c>
      <c r="C118" t="s">
        <v>22</v>
      </c>
      <c r="D118" t="s">
        <v>45</v>
      </c>
      <c r="E118" t="s">
        <v>47</v>
      </c>
      <c r="F118">
        <v>23242</v>
      </c>
      <c r="G118">
        <v>12837</v>
      </c>
      <c r="H118">
        <v>12267</v>
      </c>
      <c r="I118" s="2">
        <f t="shared" si="4"/>
        <v>81.054763574043776</v>
      </c>
      <c r="J118" s="2">
        <f t="shared" si="5"/>
        <v>89.467677508763344</v>
      </c>
      <c r="K118" s="1">
        <f t="shared" si="6"/>
        <v>0.552319077532054</v>
      </c>
      <c r="L118" s="1">
        <f t="shared" si="7"/>
        <v>0.52779450993890376</v>
      </c>
    </row>
    <row r="119" spans="1:12" x14ac:dyDescent="0.35">
      <c r="A119" t="s">
        <v>108</v>
      </c>
      <c r="B119">
        <v>30</v>
      </c>
      <c r="C119" t="s">
        <v>22</v>
      </c>
      <c r="D119" t="s">
        <v>46</v>
      </c>
      <c r="E119" t="s">
        <v>47</v>
      </c>
      <c r="F119">
        <v>18228</v>
      </c>
      <c r="G119">
        <v>18106</v>
      </c>
      <c r="H119">
        <v>12239</v>
      </c>
      <c r="I119" s="2">
        <f t="shared" si="4"/>
        <v>0.6738097868110019</v>
      </c>
      <c r="J119" s="2">
        <f t="shared" si="5"/>
        <v>48.933736416373883</v>
      </c>
      <c r="K119" s="1">
        <f t="shared" si="6"/>
        <v>0.99330700021944263</v>
      </c>
      <c r="L119" s="1">
        <f t="shared" si="7"/>
        <v>0.6714395435593592</v>
      </c>
    </row>
    <row r="120" spans="1:12" x14ac:dyDescent="0.35">
      <c r="A120" t="s">
        <v>108</v>
      </c>
      <c r="B120">
        <v>30</v>
      </c>
      <c r="C120" t="s">
        <v>22</v>
      </c>
      <c r="D120" t="s">
        <v>45</v>
      </c>
      <c r="E120" t="s">
        <v>48</v>
      </c>
      <c r="F120">
        <v>31686</v>
      </c>
      <c r="G120">
        <v>24541</v>
      </c>
      <c r="H120">
        <v>19121</v>
      </c>
      <c r="I120" s="2">
        <f t="shared" si="4"/>
        <v>29.114543009657307</v>
      </c>
      <c r="J120" s="2">
        <f t="shared" si="5"/>
        <v>65.713090319543952</v>
      </c>
      <c r="K120" s="1">
        <f t="shared" si="6"/>
        <v>0.77450609101811529</v>
      </c>
      <c r="L120" s="1">
        <f t="shared" si="7"/>
        <v>0.60345262892129015</v>
      </c>
    </row>
    <row r="121" spans="1:12" x14ac:dyDescent="0.35">
      <c r="A121" t="s">
        <v>108</v>
      </c>
      <c r="B121">
        <v>30</v>
      </c>
      <c r="C121" t="s">
        <v>22</v>
      </c>
      <c r="D121" t="s">
        <v>46</v>
      </c>
      <c r="E121" t="s">
        <v>48</v>
      </c>
      <c r="F121">
        <v>19404</v>
      </c>
      <c r="G121">
        <v>19335</v>
      </c>
      <c r="H121">
        <v>13717</v>
      </c>
      <c r="I121" s="2">
        <f t="shared" si="4"/>
        <v>0.35686578743211789</v>
      </c>
      <c r="J121" s="2">
        <f t="shared" si="5"/>
        <v>41.459502806736168</v>
      </c>
      <c r="K121" s="1">
        <f t="shared" si="6"/>
        <v>0.99644403215831789</v>
      </c>
      <c r="L121" s="1">
        <f t="shared" si="7"/>
        <v>0.70691609977324266</v>
      </c>
    </row>
    <row r="122" spans="1:12" x14ac:dyDescent="0.35">
      <c r="A122" t="s">
        <v>71</v>
      </c>
      <c r="B122">
        <v>31</v>
      </c>
      <c r="C122" t="s">
        <v>23</v>
      </c>
      <c r="D122" t="s">
        <v>45</v>
      </c>
      <c r="E122" t="s">
        <v>47</v>
      </c>
      <c r="F122">
        <v>7563</v>
      </c>
      <c r="G122">
        <v>5196</v>
      </c>
      <c r="H122">
        <v>4309</v>
      </c>
      <c r="I122" s="2">
        <f t="shared" si="4"/>
        <v>45.554272517321017</v>
      </c>
      <c r="J122" s="2">
        <f t="shared" si="5"/>
        <v>75.516361104664654</v>
      </c>
      <c r="K122" s="1">
        <f t="shared" si="6"/>
        <v>0.6870289567631892</v>
      </c>
      <c r="L122" s="1">
        <f t="shared" si="7"/>
        <v>0.56974745471373789</v>
      </c>
    </row>
    <row r="123" spans="1:12" x14ac:dyDescent="0.35">
      <c r="A123" t="s">
        <v>71</v>
      </c>
      <c r="B123">
        <v>31</v>
      </c>
      <c r="C123" t="s">
        <v>23</v>
      </c>
      <c r="D123" t="s">
        <v>46</v>
      </c>
      <c r="E123" t="s">
        <v>47</v>
      </c>
      <c r="F123">
        <v>8217</v>
      </c>
      <c r="G123">
        <v>8160</v>
      </c>
      <c r="H123">
        <v>5684</v>
      </c>
      <c r="I123" s="2">
        <f t="shared" si="4"/>
        <v>0.69852941176470595</v>
      </c>
      <c r="J123" s="2">
        <f t="shared" si="5"/>
        <v>44.563687543983107</v>
      </c>
      <c r="K123" s="1">
        <f t="shared" si="6"/>
        <v>0.99306316173786058</v>
      </c>
      <c r="L123" s="1">
        <f t="shared" si="7"/>
        <v>0.69173664354387243</v>
      </c>
    </row>
    <row r="124" spans="1:12" x14ac:dyDescent="0.35">
      <c r="A124" t="s">
        <v>71</v>
      </c>
      <c r="B124">
        <v>31</v>
      </c>
      <c r="C124" t="s">
        <v>23</v>
      </c>
      <c r="D124" t="s">
        <v>45</v>
      </c>
      <c r="E124" t="s">
        <v>48</v>
      </c>
      <c r="F124">
        <v>10298</v>
      </c>
      <c r="G124">
        <v>8336</v>
      </c>
      <c r="H124">
        <v>6232</v>
      </c>
      <c r="I124" s="2">
        <f t="shared" si="4"/>
        <v>23.536468330134358</v>
      </c>
      <c r="J124" s="2">
        <f t="shared" si="5"/>
        <v>65.243902439024396</v>
      </c>
      <c r="K124" s="1">
        <f t="shared" si="6"/>
        <v>0.80947756845989516</v>
      </c>
      <c r="L124" s="1">
        <f t="shared" si="7"/>
        <v>0.60516605166051662</v>
      </c>
    </row>
    <row r="125" spans="1:12" x14ac:dyDescent="0.35">
      <c r="A125" t="s">
        <v>71</v>
      </c>
      <c r="B125">
        <v>31</v>
      </c>
      <c r="C125" t="s">
        <v>23</v>
      </c>
      <c r="D125" t="s">
        <v>46</v>
      </c>
      <c r="E125" t="s">
        <v>48</v>
      </c>
      <c r="F125">
        <v>8657</v>
      </c>
      <c r="G125">
        <v>8616</v>
      </c>
      <c r="H125">
        <v>5942</v>
      </c>
      <c r="I125" s="2">
        <f t="shared" si="4"/>
        <v>0.47585886722376969</v>
      </c>
      <c r="J125" s="2">
        <f t="shared" si="5"/>
        <v>45.691686300908785</v>
      </c>
      <c r="K125" s="1">
        <f t="shared" si="6"/>
        <v>0.99526394824997111</v>
      </c>
      <c r="L125" s="1">
        <f t="shared" si="7"/>
        <v>0.68638096338223398</v>
      </c>
    </row>
    <row r="126" spans="1:12" x14ac:dyDescent="0.35">
      <c r="A126" t="s">
        <v>64</v>
      </c>
      <c r="B126">
        <v>32</v>
      </c>
      <c r="C126" t="s">
        <v>24</v>
      </c>
      <c r="D126" t="s">
        <v>45</v>
      </c>
      <c r="E126" t="s">
        <v>47</v>
      </c>
      <c r="F126">
        <v>1951</v>
      </c>
      <c r="G126">
        <v>1059</v>
      </c>
      <c r="H126">
        <v>917</v>
      </c>
      <c r="I126" s="2">
        <f t="shared" si="4"/>
        <v>84.230406043437199</v>
      </c>
      <c r="J126" s="2">
        <f t="shared" si="5"/>
        <v>112.75899672846236</v>
      </c>
      <c r="K126" s="1">
        <f t="shared" si="6"/>
        <v>0.54279856483854438</v>
      </c>
      <c r="L126" s="1">
        <f t="shared" si="7"/>
        <v>0.47001537672988214</v>
      </c>
    </row>
    <row r="127" spans="1:12" x14ac:dyDescent="0.35">
      <c r="A127" t="s">
        <v>64</v>
      </c>
      <c r="B127">
        <v>32</v>
      </c>
      <c r="C127" t="s">
        <v>24</v>
      </c>
      <c r="D127" t="s">
        <v>46</v>
      </c>
      <c r="E127" t="s">
        <v>47</v>
      </c>
      <c r="F127">
        <v>4695</v>
      </c>
      <c r="G127">
        <v>4677</v>
      </c>
      <c r="H127">
        <v>3326</v>
      </c>
      <c r="I127" s="2">
        <f t="shared" si="4"/>
        <v>0.38486209108402825</v>
      </c>
      <c r="J127" s="2">
        <f t="shared" si="5"/>
        <v>41.16055321707757</v>
      </c>
      <c r="K127" s="1">
        <f t="shared" si="6"/>
        <v>0.99616613418530353</v>
      </c>
      <c r="L127" s="1">
        <f t="shared" si="7"/>
        <v>0.70841320553780618</v>
      </c>
    </row>
    <row r="128" spans="1:12" x14ac:dyDescent="0.35">
      <c r="A128" t="s">
        <v>64</v>
      </c>
      <c r="B128">
        <v>32</v>
      </c>
      <c r="C128" t="s">
        <v>24</v>
      </c>
      <c r="D128" t="s">
        <v>45</v>
      </c>
      <c r="E128" t="s">
        <v>48</v>
      </c>
      <c r="F128">
        <v>3601</v>
      </c>
      <c r="G128">
        <v>2817</v>
      </c>
      <c r="H128">
        <v>2506</v>
      </c>
      <c r="I128" s="2">
        <f t="shared" si="4"/>
        <v>27.831025914093004</v>
      </c>
      <c r="J128" s="2">
        <f t="shared" si="5"/>
        <v>43.6951316839585</v>
      </c>
      <c r="K128" s="1">
        <f t="shared" si="6"/>
        <v>0.78228269925020832</v>
      </c>
      <c r="L128" s="1">
        <f t="shared" si="7"/>
        <v>0.69591780061094144</v>
      </c>
    </row>
    <row r="129" spans="1:12" x14ac:dyDescent="0.35">
      <c r="A129" t="s">
        <v>64</v>
      </c>
      <c r="B129">
        <v>32</v>
      </c>
      <c r="C129" t="s">
        <v>24</v>
      </c>
      <c r="D129" t="s">
        <v>46</v>
      </c>
      <c r="E129" t="s">
        <v>48</v>
      </c>
      <c r="F129">
        <v>5342</v>
      </c>
      <c r="G129">
        <v>5329</v>
      </c>
      <c r="H129">
        <v>3944</v>
      </c>
      <c r="I129" s="2">
        <f t="shared" si="4"/>
        <v>0.24394820791893415</v>
      </c>
      <c r="J129" s="2">
        <f t="shared" si="5"/>
        <v>35.446247464503045</v>
      </c>
      <c r="K129" s="1">
        <f t="shared" si="6"/>
        <v>0.9975664545114189</v>
      </c>
      <c r="L129" s="1">
        <f t="shared" si="7"/>
        <v>0.73830026207412958</v>
      </c>
    </row>
    <row r="130" spans="1:12" x14ac:dyDescent="0.35">
      <c r="A130" t="s">
        <v>66</v>
      </c>
      <c r="B130">
        <v>33</v>
      </c>
      <c r="C130" t="s">
        <v>25</v>
      </c>
      <c r="D130" t="s">
        <v>45</v>
      </c>
      <c r="E130" t="s">
        <v>47</v>
      </c>
      <c r="F130">
        <v>6256</v>
      </c>
      <c r="G130">
        <v>3791</v>
      </c>
      <c r="H130">
        <v>3537</v>
      </c>
      <c r="I130" s="2">
        <f t="shared" si="4"/>
        <v>65.02242152466367</v>
      </c>
      <c r="J130" s="2">
        <f t="shared" si="5"/>
        <v>76.873056262369246</v>
      </c>
      <c r="K130" s="1">
        <f t="shared" si="6"/>
        <v>0.60597826086956519</v>
      </c>
      <c r="L130" s="1">
        <f t="shared" si="7"/>
        <v>0.56537723785166238</v>
      </c>
    </row>
    <row r="131" spans="1:12" x14ac:dyDescent="0.35">
      <c r="A131" t="s">
        <v>66</v>
      </c>
      <c r="B131">
        <v>33</v>
      </c>
      <c r="C131" t="s">
        <v>25</v>
      </c>
      <c r="D131" t="s">
        <v>46</v>
      </c>
      <c r="E131" t="s">
        <v>47</v>
      </c>
      <c r="F131">
        <v>9762</v>
      </c>
      <c r="G131">
        <v>9712</v>
      </c>
      <c r="H131">
        <v>6988</v>
      </c>
      <c r="I131" s="2">
        <f t="shared" ref="I131:I194" si="8">(F131-G131)/G131*100</f>
        <v>0.51482701812191101</v>
      </c>
      <c r="J131" s="2">
        <f t="shared" ref="J131:J194" si="9">(F131-H131)/H131*100</f>
        <v>39.696622781911849</v>
      </c>
      <c r="K131" s="1">
        <f t="shared" ref="K131:K194" si="10">G131/F131</f>
        <v>0.99487809875025612</v>
      </c>
      <c r="L131" s="1">
        <f t="shared" ref="L131:L194" si="11">H131/F131</f>
        <v>0.71583691866420818</v>
      </c>
    </row>
    <row r="132" spans="1:12" x14ac:dyDescent="0.35">
      <c r="A132" t="s">
        <v>66</v>
      </c>
      <c r="B132">
        <v>33</v>
      </c>
      <c r="C132" t="s">
        <v>25</v>
      </c>
      <c r="D132" t="s">
        <v>45</v>
      </c>
      <c r="E132" t="s">
        <v>48</v>
      </c>
      <c r="F132">
        <v>7566</v>
      </c>
      <c r="G132">
        <v>5910</v>
      </c>
      <c r="H132">
        <v>4877</v>
      </c>
      <c r="I132" s="2">
        <f t="shared" si="8"/>
        <v>28.020304568527919</v>
      </c>
      <c r="J132" s="2">
        <f t="shared" si="9"/>
        <v>55.136354316177986</v>
      </c>
      <c r="K132" s="1">
        <f t="shared" si="10"/>
        <v>0.78112609040444092</v>
      </c>
      <c r="L132" s="1">
        <f t="shared" si="11"/>
        <v>0.64459423737774257</v>
      </c>
    </row>
    <row r="133" spans="1:12" x14ac:dyDescent="0.35">
      <c r="A133" t="s">
        <v>66</v>
      </c>
      <c r="B133">
        <v>33</v>
      </c>
      <c r="C133" t="s">
        <v>25</v>
      </c>
      <c r="D133" t="s">
        <v>46</v>
      </c>
      <c r="E133" t="s">
        <v>48</v>
      </c>
      <c r="F133">
        <v>9892</v>
      </c>
      <c r="G133">
        <v>10020</v>
      </c>
      <c r="H133">
        <v>7614</v>
      </c>
      <c r="I133" s="2">
        <f t="shared" si="8"/>
        <v>-1.2774451097804391</v>
      </c>
      <c r="J133" s="2">
        <f t="shared" si="9"/>
        <v>29.918571053322829</v>
      </c>
      <c r="K133" s="1">
        <f t="shared" si="10"/>
        <v>1.0129397492923575</v>
      </c>
      <c r="L133" s="1">
        <f t="shared" si="11"/>
        <v>0.7697128993125758</v>
      </c>
    </row>
    <row r="134" spans="1:12" x14ac:dyDescent="0.35">
      <c r="A134" t="s">
        <v>80</v>
      </c>
      <c r="B134">
        <v>34</v>
      </c>
      <c r="C134" t="s">
        <v>26</v>
      </c>
      <c r="D134" t="s">
        <v>45</v>
      </c>
      <c r="E134" t="s">
        <v>47</v>
      </c>
      <c r="F134">
        <v>717</v>
      </c>
      <c r="G134">
        <v>423</v>
      </c>
      <c r="H134">
        <v>473</v>
      </c>
      <c r="I134" s="2">
        <f t="shared" si="8"/>
        <v>69.503546099290787</v>
      </c>
      <c r="J134" s="2">
        <f t="shared" si="9"/>
        <v>51.585623678646932</v>
      </c>
      <c r="K134" s="1">
        <f t="shared" si="10"/>
        <v>0.58995815899581594</v>
      </c>
      <c r="L134" s="1">
        <f t="shared" si="11"/>
        <v>0.6596931659693166</v>
      </c>
    </row>
    <row r="135" spans="1:12" x14ac:dyDescent="0.35">
      <c r="A135" t="s">
        <v>80</v>
      </c>
      <c r="B135">
        <v>34</v>
      </c>
      <c r="C135" t="s">
        <v>26</v>
      </c>
      <c r="D135" t="s">
        <v>46</v>
      </c>
      <c r="E135" t="s">
        <v>47</v>
      </c>
      <c r="F135">
        <v>2637</v>
      </c>
      <c r="G135">
        <v>2641</v>
      </c>
      <c r="H135">
        <v>1978</v>
      </c>
      <c r="I135" s="2">
        <f t="shared" si="8"/>
        <v>-0.15145778114350625</v>
      </c>
      <c r="J135" s="2">
        <f t="shared" si="9"/>
        <v>33.316481294236603</v>
      </c>
      <c r="K135" s="1">
        <f t="shared" si="10"/>
        <v>1.0015168752370118</v>
      </c>
      <c r="L135" s="1">
        <f t="shared" si="11"/>
        <v>0.75009480470231327</v>
      </c>
    </row>
    <row r="136" spans="1:12" x14ac:dyDescent="0.35">
      <c r="A136" t="s">
        <v>80</v>
      </c>
      <c r="B136">
        <v>34</v>
      </c>
      <c r="C136" t="s">
        <v>26</v>
      </c>
      <c r="D136" t="s">
        <v>45</v>
      </c>
      <c r="E136" t="s">
        <v>48</v>
      </c>
      <c r="F136">
        <v>1099</v>
      </c>
      <c r="G136">
        <v>859</v>
      </c>
      <c r="H136">
        <v>704</v>
      </c>
      <c r="I136" s="2">
        <f t="shared" si="8"/>
        <v>27.939464493597203</v>
      </c>
      <c r="J136" s="2">
        <f t="shared" si="9"/>
        <v>56.10795454545454</v>
      </c>
      <c r="K136" s="1">
        <f t="shared" si="10"/>
        <v>0.78161965423111923</v>
      </c>
      <c r="L136" s="1">
        <f t="shared" si="11"/>
        <v>0.64058234758871702</v>
      </c>
    </row>
    <row r="137" spans="1:12" x14ac:dyDescent="0.35">
      <c r="A137" t="s">
        <v>80</v>
      </c>
      <c r="B137">
        <v>34</v>
      </c>
      <c r="C137" t="s">
        <v>26</v>
      </c>
      <c r="D137" t="s">
        <v>46</v>
      </c>
      <c r="E137" t="s">
        <v>48</v>
      </c>
      <c r="F137">
        <v>2509</v>
      </c>
      <c r="G137">
        <v>2522</v>
      </c>
      <c r="H137">
        <v>1967</v>
      </c>
      <c r="I137" s="2">
        <f t="shared" si="8"/>
        <v>-0.51546391752577314</v>
      </c>
      <c r="J137" s="2">
        <f t="shared" si="9"/>
        <v>27.554651753940014</v>
      </c>
      <c r="K137" s="1">
        <f t="shared" si="10"/>
        <v>1.0051813471502591</v>
      </c>
      <c r="L137" s="1">
        <f t="shared" si="11"/>
        <v>0.78397768035073734</v>
      </c>
    </row>
    <row r="138" spans="1:12" x14ac:dyDescent="0.35">
      <c r="A138" t="s">
        <v>112</v>
      </c>
      <c r="B138">
        <v>35</v>
      </c>
      <c r="C138" t="s">
        <v>27</v>
      </c>
      <c r="D138" t="s">
        <v>45</v>
      </c>
      <c r="E138" t="s">
        <v>47</v>
      </c>
      <c r="F138">
        <v>17399</v>
      </c>
      <c r="G138">
        <v>8241</v>
      </c>
      <c r="H138">
        <v>8518</v>
      </c>
      <c r="I138" s="2">
        <f t="shared" si="8"/>
        <v>111.12729037738139</v>
      </c>
      <c r="J138" s="2">
        <f t="shared" si="9"/>
        <v>104.26156374735854</v>
      </c>
      <c r="K138" s="1">
        <f t="shared" si="10"/>
        <v>0.47364791079947122</v>
      </c>
      <c r="L138" s="1">
        <f t="shared" si="11"/>
        <v>0.48956836599804587</v>
      </c>
    </row>
    <row r="139" spans="1:12" x14ac:dyDescent="0.35">
      <c r="A139" t="s">
        <v>112</v>
      </c>
      <c r="B139">
        <v>35</v>
      </c>
      <c r="C139" t="s">
        <v>27</v>
      </c>
      <c r="D139" t="s">
        <v>46</v>
      </c>
      <c r="E139" t="s">
        <v>47</v>
      </c>
      <c r="F139">
        <v>14907</v>
      </c>
      <c r="G139">
        <v>14931</v>
      </c>
      <c r="H139">
        <v>10917</v>
      </c>
      <c r="I139" s="2">
        <f t="shared" si="8"/>
        <v>-0.16073940124573036</v>
      </c>
      <c r="J139" s="2">
        <f t="shared" si="9"/>
        <v>36.548502335806539</v>
      </c>
      <c r="K139" s="1">
        <f t="shared" si="10"/>
        <v>1.0016099818877038</v>
      </c>
      <c r="L139" s="1">
        <f t="shared" si="11"/>
        <v>0.73234051116924936</v>
      </c>
    </row>
    <row r="140" spans="1:12" x14ac:dyDescent="0.35">
      <c r="A140" t="s">
        <v>112</v>
      </c>
      <c r="B140">
        <v>35</v>
      </c>
      <c r="C140" t="s">
        <v>27</v>
      </c>
      <c r="D140" t="s">
        <v>45</v>
      </c>
      <c r="E140" t="s">
        <v>48</v>
      </c>
      <c r="F140">
        <v>22304</v>
      </c>
      <c r="G140">
        <v>15080</v>
      </c>
      <c r="H140">
        <v>12583</v>
      </c>
      <c r="I140" s="2">
        <f t="shared" si="8"/>
        <v>47.904509283819628</v>
      </c>
      <c r="J140" s="2">
        <f t="shared" si="9"/>
        <v>77.255026623221809</v>
      </c>
      <c r="K140" s="1">
        <f t="shared" si="10"/>
        <v>0.67611190817790534</v>
      </c>
      <c r="L140" s="1">
        <f t="shared" si="11"/>
        <v>0.56415889526542329</v>
      </c>
    </row>
    <row r="141" spans="1:12" x14ac:dyDescent="0.35">
      <c r="A141" t="s">
        <v>112</v>
      </c>
      <c r="B141">
        <v>35</v>
      </c>
      <c r="C141" t="s">
        <v>27</v>
      </c>
      <c r="D141" t="s">
        <v>46</v>
      </c>
      <c r="E141" t="s">
        <v>48</v>
      </c>
      <c r="F141">
        <v>14194</v>
      </c>
      <c r="G141">
        <v>14182</v>
      </c>
      <c r="H141">
        <v>10139</v>
      </c>
      <c r="I141" s="2">
        <f t="shared" si="8"/>
        <v>8.4614299816669014E-2</v>
      </c>
      <c r="J141" s="2">
        <f t="shared" si="9"/>
        <v>39.994082256632801</v>
      </c>
      <c r="K141" s="1">
        <f t="shared" si="10"/>
        <v>0.99915457235451599</v>
      </c>
      <c r="L141" s="1">
        <f t="shared" si="11"/>
        <v>0.71431590813019585</v>
      </c>
    </row>
    <row r="142" spans="1:12" x14ac:dyDescent="0.35">
      <c r="A142" t="s">
        <v>65</v>
      </c>
      <c r="B142">
        <v>36</v>
      </c>
      <c r="C142" t="s">
        <v>28</v>
      </c>
      <c r="D142" t="s">
        <v>45</v>
      </c>
      <c r="E142" t="s">
        <v>47</v>
      </c>
      <c r="F142">
        <v>5843</v>
      </c>
      <c r="G142">
        <v>3041</v>
      </c>
      <c r="H142">
        <v>2704</v>
      </c>
      <c r="I142" s="2">
        <f t="shared" si="8"/>
        <v>92.140743176586653</v>
      </c>
      <c r="J142" s="2">
        <f t="shared" si="9"/>
        <v>116.08727810650888</v>
      </c>
      <c r="K142" s="1">
        <f t="shared" si="10"/>
        <v>0.52045182269382162</v>
      </c>
      <c r="L142" s="1">
        <f t="shared" si="11"/>
        <v>0.46277597124764674</v>
      </c>
    </row>
    <row r="143" spans="1:12" x14ac:dyDescent="0.35">
      <c r="A143" t="s">
        <v>65</v>
      </c>
      <c r="B143">
        <v>36</v>
      </c>
      <c r="C143" t="s">
        <v>28</v>
      </c>
      <c r="D143" t="s">
        <v>46</v>
      </c>
      <c r="E143" t="s">
        <v>47</v>
      </c>
      <c r="F143">
        <v>9338</v>
      </c>
      <c r="G143">
        <v>9317</v>
      </c>
      <c r="H143">
        <v>6739</v>
      </c>
      <c r="I143" s="2">
        <f t="shared" si="8"/>
        <v>0.22539444027047331</v>
      </c>
      <c r="J143" s="2">
        <f t="shared" si="9"/>
        <v>38.56655290102389</v>
      </c>
      <c r="K143" s="1">
        <f t="shared" si="10"/>
        <v>0.99775112443778113</v>
      </c>
      <c r="L143" s="1">
        <f t="shared" si="11"/>
        <v>0.72167487684729059</v>
      </c>
    </row>
    <row r="144" spans="1:12" x14ac:dyDescent="0.35">
      <c r="A144" t="s">
        <v>65</v>
      </c>
      <c r="B144">
        <v>36</v>
      </c>
      <c r="C144" t="s">
        <v>28</v>
      </c>
      <c r="D144" t="s">
        <v>45</v>
      </c>
      <c r="E144" t="s">
        <v>48</v>
      </c>
      <c r="F144">
        <v>8268</v>
      </c>
      <c r="G144">
        <v>6156</v>
      </c>
      <c r="H144">
        <v>5246</v>
      </c>
      <c r="I144" s="2">
        <f t="shared" si="8"/>
        <v>34.307992202729039</v>
      </c>
      <c r="J144" s="2">
        <f t="shared" si="9"/>
        <v>57.605794891345788</v>
      </c>
      <c r="K144" s="1">
        <f t="shared" si="10"/>
        <v>0.7445573294629898</v>
      </c>
      <c r="L144" s="1">
        <f t="shared" si="11"/>
        <v>0.63449443638122882</v>
      </c>
    </row>
    <row r="145" spans="1:12" x14ac:dyDescent="0.35">
      <c r="A145" t="s">
        <v>65</v>
      </c>
      <c r="B145">
        <v>36</v>
      </c>
      <c r="C145" t="s">
        <v>28</v>
      </c>
      <c r="D145" t="s">
        <v>46</v>
      </c>
      <c r="E145" t="s">
        <v>48</v>
      </c>
      <c r="F145">
        <v>10311</v>
      </c>
      <c r="G145">
        <v>10431</v>
      </c>
      <c r="H145">
        <v>8115</v>
      </c>
      <c r="I145" s="2">
        <f t="shared" si="8"/>
        <v>-1.1504170261719875</v>
      </c>
      <c r="J145" s="2">
        <f t="shared" si="9"/>
        <v>27.060998151571162</v>
      </c>
      <c r="K145" s="1">
        <f t="shared" si="10"/>
        <v>1.0116380564445737</v>
      </c>
      <c r="L145" s="1">
        <f t="shared" si="11"/>
        <v>0.78702356706430021</v>
      </c>
    </row>
    <row r="146" spans="1:12" x14ac:dyDescent="0.35">
      <c r="A146" t="s">
        <v>81</v>
      </c>
      <c r="B146">
        <v>37</v>
      </c>
      <c r="C146" t="s">
        <v>29</v>
      </c>
      <c r="D146" t="s">
        <v>45</v>
      </c>
      <c r="E146" t="s">
        <v>47</v>
      </c>
      <c r="F146">
        <v>2396</v>
      </c>
      <c r="G146">
        <v>1155</v>
      </c>
      <c r="H146">
        <v>1432</v>
      </c>
      <c r="I146" s="2">
        <f t="shared" si="8"/>
        <v>107.44588744588745</v>
      </c>
      <c r="J146" s="2">
        <f t="shared" si="9"/>
        <v>67.318435754189949</v>
      </c>
      <c r="K146" s="1">
        <f t="shared" si="10"/>
        <v>0.48205342237061771</v>
      </c>
      <c r="L146" s="1">
        <f t="shared" si="11"/>
        <v>0.59766277128547585</v>
      </c>
    </row>
    <row r="147" spans="1:12" x14ac:dyDescent="0.35">
      <c r="A147" t="s">
        <v>81</v>
      </c>
      <c r="B147">
        <v>37</v>
      </c>
      <c r="C147" t="s">
        <v>29</v>
      </c>
      <c r="D147" t="s">
        <v>46</v>
      </c>
      <c r="E147" t="s">
        <v>47</v>
      </c>
      <c r="F147">
        <v>5363</v>
      </c>
      <c r="G147">
        <v>5356</v>
      </c>
      <c r="H147">
        <v>4047</v>
      </c>
      <c r="I147" s="2">
        <f t="shared" si="8"/>
        <v>0.13069454817027634</v>
      </c>
      <c r="J147" s="2">
        <f t="shared" si="9"/>
        <v>32.517914504571287</v>
      </c>
      <c r="K147" s="1">
        <f t="shared" si="10"/>
        <v>0.99869476039530114</v>
      </c>
      <c r="L147" s="1">
        <f t="shared" si="11"/>
        <v>0.75461495431661385</v>
      </c>
    </row>
    <row r="148" spans="1:12" x14ac:dyDescent="0.35">
      <c r="A148" t="s">
        <v>81</v>
      </c>
      <c r="B148">
        <v>37</v>
      </c>
      <c r="C148" t="s">
        <v>29</v>
      </c>
      <c r="D148" t="s">
        <v>45</v>
      </c>
      <c r="E148" t="s">
        <v>48</v>
      </c>
      <c r="F148">
        <v>3783</v>
      </c>
      <c r="G148">
        <v>2771</v>
      </c>
      <c r="H148">
        <v>2543</v>
      </c>
      <c r="I148" s="2">
        <f t="shared" si="8"/>
        <v>36.521111512089497</v>
      </c>
      <c r="J148" s="2">
        <f t="shared" si="9"/>
        <v>48.761305544632322</v>
      </c>
      <c r="K148" s="1">
        <f t="shared" si="10"/>
        <v>0.73248744382764996</v>
      </c>
      <c r="L148" s="1">
        <f t="shared" si="11"/>
        <v>0.67221781654771351</v>
      </c>
    </row>
    <row r="149" spans="1:12" x14ac:dyDescent="0.35">
      <c r="A149" t="s">
        <v>81</v>
      </c>
      <c r="B149">
        <v>37</v>
      </c>
      <c r="C149" t="s">
        <v>29</v>
      </c>
      <c r="D149" t="s">
        <v>46</v>
      </c>
      <c r="E149" t="s">
        <v>48</v>
      </c>
      <c r="F149">
        <v>4811</v>
      </c>
      <c r="G149">
        <v>4820</v>
      </c>
      <c r="H149">
        <v>3848</v>
      </c>
      <c r="I149" s="2">
        <f t="shared" si="8"/>
        <v>-0.18672199170124482</v>
      </c>
      <c r="J149" s="2">
        <f t="shared" si="9"/>
        <v>25.025987525987524</v>
      </c>
      <c r="K149" s="1">
        <f t="shared" si="10"/>
        <v>1.0018707129494908</v>
      </c>
      <c r="L149" s="1">
        <f t="shared" si="11"/>
        <v>0.79983371440448969</v>
      </c>
    </row>
    <row r="150" spans="1:12" x14ac:dyDescent="0.35">
      <c r="A150" t="s">
        <v>111</v>
      </c>
      <c r="B150">
        <v>38</v>
      </c>
      <c r="C150" t="s">
        <v>30</v>
      </c>
      <c r="D150" t="s">
        <v>45</v>
      </c>
      <c r="E150" t="s">
        <v>47</v>
      </c>
      <c r="F150">
        <v>18117</v>
      </c>
      <c r="G150">
        <v>6809</v>
      </c>
      <c r="H150">
        <v>6274</v>
      </c>
      <c r="I150" s="2">
        <f t="shared" si="8"/>
        <v>166.07431340872375</v>
      </c>
      <c r="J150" s="2">
        <f t="shared" si="9"/>
        <v>188.76314950589736</v>
      </c>
      <c r="K150" s="1">
        <f t="shared" si="10"/>
        <v>0.3758348512446873</v>
      </c>
      <c r="L150" s="1">
        <f t="shared" si="11"/>
        <v>0.34630457581277252</v>
      </c>
    </row>
    <row r="151" spans="1:12" x14ac:dyDescent="0.35">
      <c r="A151" t="s">
        <v>111</v>
      </c>
      <c r="B151">
        <v>38</v>
      </c>
      <c r="C151" t="s">
        <v>30</v>
      </c>
      <c r="D151" t="s">
        <v>46</v>
      </c>
      <c r="E151" t="s">
        <v>47</v>
      </c>
      <c r="F151">
        <v>13044</v>
      </c>
      <c r="G151">
        <v>13022</v>
      </c>
      <c r="H151">
        <v>8656</v>
      </c>
      <c r="I151" s="2">
        <f t="shared" si="8"/>
        <v>0.16894486254031638</v>
      </c>
      <c r="J151" s="2">
        <f t="shared" si="9"/>
        <v>50.693160813308694</v>
      </c>
      <c r="K151" s="1">
        <f t="shared" si="10"/>
        <v>0.99831340079730146</v>
      </c>
      <c r="L151" s="1">
        <f t="shared" si="11"/>
        <v>0.66360012266176016</v>
      </c>
    </row>
    <row r="152" spans="1:12" x14ac:dyDescent="0.35">
      <c r="A152" t="s">
        <v>111</v>
      </c>
      <c r="B152">
        <v>38</v>
      </c>
      <c r="C152" t="s">
        <v>30</v>
      </c>
      <c r="D152" t="s">
        <v>45</v>
      </c>
      <c r="E152" t="s">
        <v>48</v>
      </c>
      <c r="F152">
        <v>24657</v>
      </c>
      <c r="G152">
        <v>17063</v>
      </c>
      <c r="H152">
        <v>14897</v>
      </c>
      <c r="I152" s="2">
        <f t="shared" si="8"/>
        <v>44.505655511926392</v>
      </c>
      <c r="J152" s="2">
        <f t="shared" si="9"/>
        <v>65.516546955762905</v>
      </c>
      <c r="K152" s="1">
        <f t="shared" si="10"/>
        <v>0.69201443809060303</v>
      </c>
      <c r="L152" s="1">
        <f t="shared" si="11"/>
        <v>0.60416920144380903</v>
      </c>
    </row>
    <row r="153" spans="1:12" x14ac:dyDescent="0.35">
      <c r="A153" t="s">
        <v>111</v>
      </c>
      <c r="B153">
        <v>38</v>
      </c>
      <c r="C153" t="s">
        <v>30</v>
      </c>
      <c r="D153" t="s">
        <v>46</v>
      </c>
      <c r="E153" t="s">
        <v>48</v>
      </c>
      <c r="F153">
        <v>13091</v>
      </c>
      <c r="G153">
        <v>13076</v>
      </c>
      <c r="H153">
        <v>9133</v>
      </c>
      <c r="I153" s="2">
        <f t="shared" si="8"/>
        <v>0.11471397981033955</v>
      </c>
      <c r="J153" s="2">
        <f t="shared" si="9"/>
        <v>43.337348078397021</v>
      </c>
      <c r="K153" s="1">
        <f t="shared" si="10"/>
        <v>0.99885417462378734</v>
      </c>
      <c r="L153" s="1">
        <f t="shared" si="11"/>
        <v>0.69765487739668475</v>
      </c>
    </row>
    <row r="154" spans="1:12" x14ac:dyDescent="0.35">
      <c r="A154" t="s">
        <v>67</v>
      </c>
      <c r="B154">
        <v>39</v>
      </c>
      <c r="C154" t="s">
        <v>31</v>
      </c>
      <c r="D154" t="s">
        <v>45</v>
      </c>
      <c r="E154" t="s">
        <v>47</v>
      </c>
      <c r="F154">
        <v>3800</v>
      </c>
      <c r="G154">
        <v>2298</v>
      </c>
      <c r="H154">
        <v>2156</v>
      </c>
      <c r="I154" s="2">
        <f t="shared" si="8"/>
        <v>65.361183637946041</v>
      </c>
      <c r="J154" s="2">
        <f t="shared" si="9"/>
        <v>76.252319109461965</v>
      </c>
      <c r="K154" s="1">
        <f t="shared" si="10"/>
        <v>0.60473684210526313</v>
      </c>
      <c r="L154" s="1">
        <f t="shared" si="11"/>
        <v>0.56736842105263163</v>
      </c>
    </row>
    <row r="155" spans="1:12" x14ac:dyDescent="0.35">
      <c r="A155" t="s">
        <v>67</v>
      </c>
      <c r="B155">
        <v>39</v>
      </c>
      <c r="C155" t="s">
        <v>31</v>
      </c>
      <c r="D155" t="s">
        <v>46</v>
      </c>
      <c r="E155" t="s">
        <v>47</v>
      </c>
      <c r="F155">
        <v>8243</v>
      </c>
      <c r="G155">
        <v>8180</v>
      </c>
      <c r="H155">
        <v>5585</v>
      </c>
      <c r="I155" s="2">
        <f t="shared" si="8"/>
        <v>0.77017114914425433</v>
      </c>
      <c r="J155" s="2">
        <f t="shared" si="9"/>
        <v>47.591763652640999</v>
      </c>
      <c r="K155" s="1">
        <f t="shared" si="10"/>
        <v>0.99235715152250392</v>
      </c>
      <c r="L155" s="1">
        <f t="shared" si="11"/>
        <v>0.67754458328278544</v>
      </c>
    </row>
    <row r="156" spans="1:12" x14ac:dyDescent="0.35">
      <c r="A156" t="s">
        <v>67</v>
      </c>
      <c r="B156">
        <v>39</v>
      </c>
      <c r="C156" t="s">
        <v>31</v>
      </c>
      <c r="D156" t="s">
        <v>45</v>
      </c>
      <c r="E156" t="s">
        <v>48</v>
      </c>
      <c r="F156">
        <v>5989</v>
      </c>
      <c r="G156">
        <v>4742</v>
      </c>
      <c r="H156">
        <v>3882</v>
      </c>
      <c r="I156" s="2">
        <f t="shared" si="8"/>
        <v>26.296921130324758</v>
      </c>
      <c r="J156" s="2">
        <f t="shared" si="9"/>
        <v>54.276146316331783</v>
      </c>
      <c r="K156" s="1">
        <f t="shared" si="10"/>
        <v>0.79178493905493408</v>
      </c>
      <c r="L156" s="1">
        <f t="shared" si="11"/>
        <v>0.64818834529971614</v>
      </c>
    </row>
    <row r="157" spans="1:12" x14ac:dyDescent="0.35">
      <c r="A157" t="s">
        <v>67</v>
      </c>
      <c r="B157">
        <v>39</v>
      </c>
      <c r="C157" t="s">
        <v>31</v>
      </c>
      <c r="D157" t="s">
        <v>46</v>
      </c>
      <c r="E157" t="s">
        <v>48</v>
      </c>
      <c r="F157">
        <v>9681</v>
      </c>
      <c r="G157">
        <v>9745</v>
      </c>
      <c r="H157">
        <v>7362</v>
      </c>
      <c r="I157" s="2">
        <f t="shared" si="8"/>
        <v>-0.65674704976911236</v>
      </c>
      <c r="J157" s="2">
        <f t="shared" si="9"/>
        <v>31.499592502037487</v>
      </c>
      <c r="K157" s="1">
        <f t="shared" si="10"/>
        <v>1.0066108873050306</v>
      </c>
      <c r="L157" s="1">
        <f t="shared" si="11"/>
        <v>0.76045863030678651</v>
      </c>
    </row>
    <row r="158" spans="1:12" x14ac:dyDescent="0.35">
      <c r="A158" t="s">
        <v>82</v>
      </c>
      <c r="B158">
        <v>40</v>
      </c>
      <c r="C158" t="s">
        <v>32</v>
      </c>
      <c r="D158" t="s">
        <v>45</v>
      </c>
      <c r="E158" t="s">
        <v>47</v>
      </c>
      <c r="F158">
        <v>1609</v>
      </c>
      <c r="G158">
        <v>1023</v>
      </c>
      <c r="H158">
        <v>1249</v>
      </c>
      <c r="I158" s="2">
        <f t="shared" si="8"/>
        <v>57.282502443792772</v>
      </c>
      <c r="J158" s="2">
        <f t="shared" si="9"/>
        <v>28.823058446757404</v>
      </c>
      <c r="K158" s="1">
        <f t="shared" si="10"/>
        <v>0.63579863269111248</v>
      </c>
      <c r="L158" s="1">
        <f t="shared" si="11"/>
        <v>0.77625854568054697</v>
      </c>
    </row>
    <row r="159" spans="1:12" x14ac:dyDescent="0.35">
      <c r="A159" t="s">
        <v>82</v>
      </c>
      <c r="B159">
        <v>40</v>
      </c>
      <c r="C159" t="s">
        <v>32</v>
      </c>
      <c r="D159" t="s">
        <v>46</v>
      </c>
      <c r="E159" t="s">
        <v>47</v>
      </c>
      <c r="F159">
        <v>3950</v>
      </c>
      <c r="G159">
        <v>3948</v>
      </c>
      <c r="H159">
        <v>2875</v>
      </c>
      <c r="I159" s="2">
        <f t="shared" si="8"/>
        <v>5.0658561296859174E-2</v>
      </c>
      <c r="J159" s="2">
        <f t="shared" si="9"/>
        <v>37.391304347826086</v>
      </c>
      <c r="K159" s="1">
        <f t="shared" si="10"/>
        <v>0.99949367088607599</v>
      </c>
      <c r="L159" s="1">
        <f t="shared" si="11"/>
        <v>0.72784810126582278</v>
      </c>
    </row>
    <row r="160" spans="1:12" x14ac:dyDescent="0.35">
      <c r="A160" t="s">
        <v>82</v>
      </c>
      <c r="B160">
        <v>40</v>
      </c>
      <c r="C160" t="s">
        <v>32</v>
      </c>
      <c r="D160" t="s">
        <v>45</v>
      </c>
      <c r="E160" t="s">
        <v>48</v>
      </c>
      <c r="F160">
        <v>2156</v>
      </c>
      <c r="G160">
        <v>1503</v>
      </c>
      <c r="H160">
        <v>1249</v>
      </c>
      <c r="I160" s="2">
        <f t="shared" si="8"/>
        <v>43.446440452428476</v>
      </c>
      <c r="J160" s="2">
        <f t="shared" si="9"/>
        <v>72.618094475580463</v>
      </c>
      <c r="K160" s="1">
        <f t="shared" si="10"/>
        <v>0.69712430426716143</v>
      </c>
      <c r="L160" s="1">
        <f t="shared" si="11"/>
        <v>0.57931354359925791</v>
      </c>
    </row>
    <row r="161" spans="1:12" x14ac:dyDescent="0.35">
      <c r="A161" t="s">
        <v>82</v>
      </c>
      <c r="B161">
        <v>40</v>
      </c>
      <c r="C161" t="s">
        <v>32</v>
      </c>
      <c r="D161" t="s">
        <v>46</v>
      </c>
      <c r="E161" t="s">
        <v>48</v>
      </c>
      <c r="F161">
        <v>4133</v>
      </c>
      <c r="G161">
        <v>4145</v>
      </c>
      <c r="H161">
        <v>3358</v>
      </c>
      <c r="I161" s="2">
        <f t="shared" si="8"/>
        <v>-0.28950542822677927</v>
      </c>
      <c r="J161" s="2">
        <f t="shared" si="9"/>
        <v>23.079213817748659</v>
      </c>
      <c r="K161" s="1">
        <f t="shared" si="10"/>
        <v>1.0029034599564481</v>
      </c>
      <c r="L161" s="1">
        <f t="shared" si="11"/>
        <v>0.81248487781272682</v>
      </c>
    </row>
    <row r="162" spans="1:12" x14ac:dyDescent="0.35">
      <c r="A162" t="s">
        <v>107</v>
      </c>
      <c r="B162">
        <v>41</v>
      </c>
      <c r="C162" t="s">
        <v>33</v>
      </c>
      <c r="D162" t="s">
        <v>45</v>
      </c>
      <c r="E162" t="s">
        <v>47</v>
      </c>
      <c r="F162">
        <v>15443</v>
      </c>
      <c r="G162">
        <v>7576</v>
      </c>
      <c r="H162">
        <v>8250</v>
      </c>
      <c r="I162" s="2">
        <f t="shared" si="8"/>
        <v>103.84107708553327</v>
      </c>
      <c r="J162" s="2">
        <f t="shared" si="9"/>
        <v>87.187878787878788</v>
      </c>
      <c r="K162" s="1">
        <f t="shared" si="10"/>
        <v>0.49057825552030043</v>
      </c>
      <c r="L162" s="1">
        <f t="shared" si="11"/>
        <v>0.53422262513760277</v>
      </c>
    </row>
    <row r="163" spans="1:12" x14ac:dyDescent="0.35">
      <c r="A163" t="s">
        <v>107</v>
      </c>
      <c r="B163">
        <v>41</v>
      </c>
      <c r="C163" t="s">
        <v>33</v>
      </c>
      <c r="D163" t="s">
        <v>46</v>
      </c>
      <c r="E163" t="s">
        <v>47</v>
      </c>
      <c r="F163">
        <v>18960</v>
      </c>
      <c r="G163">
        <v>19118</v>
      </c>
      <c r="H163">
        <v>14883</v>
      </c>
      <c r="I163" s="2">
        <f t="shared" si="8"/>
        <v>-0.82644628099173556</v>
      </c>
      <c r="J163" s="2">
        <f t="shared" si="9"/>
        <v>27.393670630921186</v>
      </c>
      <c r="K163" s="1">
        <f t="shared" si="10"/>
        <v>1.0083333333333333</v>
      </c>
      <c r="L163" s="1">
        <f t="shared" si="11"/>
        <v>0.78496835443037971</v>
      </c>
    </row>
    <row r="164" spans="1:12" x14ac:dyDescent="0.35">
      <c r="A164" t="s">
        <v>107</v>
      </c>
      <c r="B164">
        <v>41</v>
      </c>
      <c r="C164" t="s">
        <v>33</v>
      </c>
      <c r="D164" t="s">
        <v>45</v>
      </c>
      <c r="E164" t="s">
        <v>48</v>
      </c>
      <c r="F164">
        <v>16569</v>
      </c>
      <c r="G164">
        <v>11678</v>
      </c>
      <c r="H164">
        <v>9363</v>
      </c>
      <c r="I164" s="2">
        <f t="shared" si="8"/>
        <v>41.882171604726835</v>
      </c>
      <c r="J164" s="2">
        <f t="shared" si="9"/>
        <v>76.962512015379687</v>
      </c>
      <c r="K164" s="1">
        <f t="shared" si="10"/>
        <v>0.70481018769992154</v>
      </c>
      <c r="L164" s="1">
        <f t="shared" si="11"/>
        <v>0.56509143581386923</v>
      </c>
    </row>
    <row r="165" spans="1:12" x14ac:dyDescent="0.35">
      <c r="A165" t="s">
        <v>107</v>
      </c>
      <c r="B165">
        <v>41</v>
      </c>
      <c r="C165" t="s">
        <v>33</v>
      </c>
      <c r="D165" t="s">
        <v>46</v>
      </c>
      <c r="E165" t="s">
        <v>48</v>
      </c>
      <c r="F165">
        <v>18949</v>
      </c>
      <c r="G165">
        <v>19119</v>
      </c>
      <c r="H165">
        <v>15503</v>
      </c>
      <c r="I165" s="2">
        <f t="shared" si="8"/>
        <v>-0.88916784350645961</v>
      </c>
      <c r="J165" s="2">
        <f t="shared" si="9"/>
        <v>22.227955879507192</v>
      </c>
      <c r="K165" s="1">
        <f t="shared" si="10"/>
        <v>1.0089714496807218</v>
      </c>
      <c r="L165" s="1">
        <f t="shared" si="11"/>
        <v>0.81814343764842468</v>
      </c>
    </row>
    <row r="166" spans="1:12" x14ac:dyDescent="0.35">
      <c r="A166" t="s">
        <v>83</v>
      </c>
      <c r="B166">
        <v>42</v>
      </c>
      <c r="C166" t="s">
        <v>34</v>
      </c>
      <c r="D166" t="s">
        <v>45</v>
      </c>
      <c r="E166" t="s">
        <v>47</v>
      </c>
      <c r="F166">
        <v>901</v>
      </c>
      <c r="G166">
        <v>591</v>
      </c>
      <c r="H166">
        <v>491</v>
      </c>
      <c r="I166" s="2">
        <f t="shared" si="8"/>
        <v>52.453468697123519</v>
      </c>
      <c r="J166" s="2">
        <f t="shared" si="9"/>
        <v>83.503054989816704</v>
      </c>
      <c r="K166" s="1">
        <f t="shared" si="10"/>
        <v>0.65593784683684797</v>
      </c>
      <c r="L166" s="1">
        <f t="shared" si="11"/>
        <v>0.54495005549389564</v>
      </c>
    </row>
    <row r="167" spans="1:12" x14ac:dyDescent="0.35">
      <c r="A167" t="s">
        <v>83</v>
      </c>
      <c r="B167">
        <v>42</v>
      </c>
      <c r="C167" t="s">
        <v>34</v>
      </c>
      <c r="D167" t="s">
        <v>46</v>
      </c>
      <c r="E167" t="s">
        <v>47</v>
      </c>
      <c r="F167">
        <v>2258</v>
      </c>
      <c r="G167">
        <v>2272</v>
      </c>
      <c r="H167">
        <v>1481</v>
      </c>
      <c r="I167" s="2">
        <f t="shared" si="8"/>
        <v>-0.61619718309859151</v>
      </c>
      <c r="J167" s="2">
        <f t="shared" si="9"/>
        <v>52.464550979068193</v>
      </c>
      <c r="K167" s="1">
        <f t="shared" si="10"/>
        <v>1.0062001771479185</v>
      </c>
      <c r="L167" s="1">
        <f t="shared" si="11"/>
        <v>0.6558901682905226</v>
      </c>
    </row>
    <row r="168" spans="1:12" x14ac:dyDescent="0.35">
      <c r="A168" t="s">
        <v>83</v>
      </c>
      <c r="B168">
        <v>42</v>
      </c>
      <c r="C168" t="s">
        <v>34</v>
      </c>
      <c r="D168" t="s">
        <v>45</v>
      </c>
      <c r="E168" t="s">
        <v>48</v>
      </c>
      <c r="F168">
        <v>1303</v>
      </c>
      <c r="G168">
        <v>977</v>
      </c>
      <c r="H168">
        <v>822</v>
      </c>
      <c r="I168" s="2">
        <f t="shared" si="8"/>
        <v>33.36745138178096</v>
      </c>
      <c r="J168" s="2">
        <f t="shared" si="9"/>
        <v>58.515815085158152</v>
      </c>
      <c r="K168" s="1">
        <f t="shared" si="10"/>
        <v>0.74980813507290867</v>
      </c>
      <c r="L168" s="1">
        <f t="shared" si="11"/>
        <v>0.63085188027628547</v>
      </c>
    </row>
    <row r="169" spans="1:12" x14ac:dyDescent="0.35">
      <c r="A169" t="s">
        <v>83</v>
      </c>
      <c r="B169">
        <v>42</v>
      </c>
      <c r="C169" t="s">
        <v>34</v>
      </c>
      <c r="D169" t="s">
        <v>46</v>
      </c>
      <c r="E169" t="s">
        <v>48</v>
      </c>
      <c r="F169">
        <v>2045</v>
      </c>
      <c r="G169">
        <v>2066</v>
      </c>
      <c r="H169">
        <v>1531</v>
      </c>
      <c r="I169" s="2">
        <f t="shared" si="8"/>
        <v>-1.0164569215876089</v>
      </c>
      <c r="J169" s="2">
        <f t="shared" si="9"/>
        <v>33.572828216851732</v>
      </c>
      <c r="K169" s="1">
        <f t="shared" si="10"/>
        <v>1.0102689486552567</v>
      </c>
      <c r="L169" s="1">
        <f t="shared" si="11"/>
        <v>0.74865525672371636</v>
      </c>
    </row>
    <row r="170" spans="1:12" x14ac:dyDescent="0.35">
      <c r="A170" t="s">
        <v>96</v>
      </c>
      <c r="B170">
        <v>43</v>
      </c>
      <c r="C170" t="s">
        <v>35</v>
      </c>
      <c r="D170" t="s">
        <v>45</v>
      </c>
      <c r="E170" t="s">
        <v>47</v>
      </c>
      <c r="F170">
        <v>15957</v>
      </c>
      <c r="G170">
        <v>12443</v>
      </c>
      <c r="H170">
        <v>11618</v>
      </c>
      <c r="I170" s="2">
        <f t="shared" si="8"/>
        <v>28.240777947440325</v>
      </c>
      <c r="J170" s="2">
        <f t="shared" si="9"/>
        <v>37.347219831296265</v>
      </c>
      <c r="K170" s="1">
        <f t="shared" si="10"/>
        <v>0.77978316726201669</v>
      </c>
      <c r="L170" s="1">
        <f t="shared" si="11"/>
        <v>0.72808171962148271</v>
      </c>
    </row>
    <row r="171" spans="1:12" x14ac:dyDescent="0.35">
      <c r="A171" t="s">
        <v>96</v>
      </c>
      <c r="B171">
        <v>43</v>
      </c>
      <c r="C171" t="s">
        <v>35</v>
      </c>
      <c r="D171" t="s">
        <v>46</v>
      </c>
      <c r="E171" t="s">
        <v>47</v>
      </c>
      <c r="F171">
        <v>14742</v>
      </c>
      <c r="G171">
        <v>14736</v>
      </c>
      <c r="H171">
        <v>10628</v>
      </c>
      <c r="I171" s="2">
        <f t="shared" si="8"/>
        <v>4.0716612377850167E-2</v>
      </c>
      <c r="J171" s="2">
        <f t="shared" si="9"/>
        <v>38.709070380127962</v>
      </c>
      <c r="K171" s="1">
        <f t="shared" si="10"/>
        <v>0.99959299959299963</v>
      </c>
      <c r="L171" s="1">
        <f t="shared" si="11"/>
        <v>0.72093338760005432</v>
      </c>
    </row>
    <row r="172" spans="1:12" x14ac:dyDescent="0.35">
      <c r="A172" t="s">
        <v>96</v>
      </c>
      <c r="B172">
        <v>43</v>
      </c>
      <c r="C172" t="s">
        <v>35</v>
      </c>
      <c r="D172" t="s">
        <v>45</v>
      </c>
      <c r="E172" t="s">
        <v>48</v>
      </c>
      <c r="F172">
        <v>18898</v>
      </c>
      <c r="G172">
        <v>13695</v>
      </c>
      <c r="H172">
        <v>10620</v>
      </c>
      <c r="I172" s="2">
        <f t="shared" si="8"/>
        <v>37.99196787148594</v>
      </c>
      <c r="J172" s="2">
        <f t="shared" si="9"/>
        <v>77.947269303201509</v>
      </c>
      <c r="K172" s="1">
        <f t="shared" si="10"/>
        <v>0.7246798603026775</v>
      </c>
      <c r="L172" s="1">
        <f t="shared" si="11"/>
        <v>0.56196422901894383</v>
      </c>
    </row>
    <row r="173" spans="1:12" x14ac:dyDescent="0.35">
      <c r="A173" t="s">
        <v>96</v>
      </c>
      <c r="B173">
        <v>43</v>
      </c>
      <c r="C173" t="s">
        <v>35</v>
      </c>
      <c r="D173" t="s">
        <v>46</v>
      </c>
      <c r="E173" t="s">
        <v>48</v>
      </c>
      <c r="F173">
        <v>20282</v>
      </c>
      <c r="G173">
        <v>20497</v>
      </c>
      <c r="H173">
        <v>15454</v>
      </c>
      <c r="I173" s="2">
        <f t="shared" si="8"/>
        <v>-1.0489339903400496</v>
      </c>
      <c r="J173" s="2">
        <f t="shared" si="9"/>
        <v>31.241102627151545</v>
      </c>
      <c r="K173" s="1">
        <f t="shared" si="10"/>
        <v>1.0106005324918648</v>
      </c>
      <c r="L173" s="1">
        <f t="shared" si="11"/>
        <v>0.76195641455477758</v>
      </c>
    </row>
    <row r="174" spans="1:12" x14ac:dyDescent="0.35">
      <c r="A174" t="s">
        <v>74</v>
      </c>
      <c r="B174">
        <v>44</v>
      </c>
      <c r="C174" t="s">
        <v>36</v>
      </c>
      <c r="D174" t="s">
        <v>45</v>
      </c>
      <c r="E174" t="s">
        <v>47</v>
      </c>
      <c r="F174">
        <v>1258</v>
      </c>
      <c r="G174">
        <v>786</v>
      </c>
      <c r="H174">
        <v>688</v>
      </c>
      <c r="I174" s="2">
        <f t="shared" si="8"/>
        <v>60.050890585241731</v>
      </c>
      <c r="J174" s="2">
        <f t="shared" si="9"/>
        <v>82.848837209302332</v>
      </c>
      <c r="K174" s="1">
        <f t="shared" si="10"/>
        <v>0.62480127186009538</v>
      </c>
      <c r="L174" s="1">
        <f t="shared" si="11"/>
        <v>0.54689984101748812</v>
      </c>
    </row>
    <row r="175" spans="1:12" x14ac:dyDescent="0.35">
      <c r="A175" t="s">
        <v>74</v>
      </c>
      <c r="B175">
        <v>44</v>
      </c>
      <c r="C175" t="s">
        <v>36</v>
      </c>
      <c r="D175" t="s">
        <v>46</v>
      </c>
      <c r="E175" t="s">
        <v>47</v>
      </c>
      <c r="F175">
        <v>3216</v>
      </c>
      <c r="G175">
        <v>3212</v>
      </c>
      <c r="H175">
        <v>2423</v>
      </c>
      <c r="I175" s="2">
        <f t="shared" si="8"/>
        <v>0.12453300124533001</v>
      </c>
      <c r="J175" s="2">
        <f t="shared" si="9"/>
        <v>32.72802311184482</v>
      </c>
      <c r="K175" s="1">
        <f t="shared" si="10"/>
        <v>0.99875621890547261</v>
      </c>
      <c r="L175" s="1">
        <f t="shared" si="11"/>
        <v>0.7534203980099502</v>
      </c>
    </row>
    <row r="176" spans="1:12" x14ac:dyDescent="0.35">
      <c r="A176" t="s">
        <v>74</v>
      </c>
      <c r="B176">
        <v>44</v>
      </c>
      <c r="C176" t="s">
        <v>36</v>
      </c>
      <c r="D176" t="s">
        <v>45</v>
      </c>
      <c r="E176" t="s">
        <v>48</v>
      </c>
      <c r="F176">
        <v>1751</v>
      </c>
      <c r="G176">
        <v>1470</v>
      </c>
      <c r="H176">
        <v>1115</v>
      </c>
      <c r="I176" s="2">
        <f t="shared" si="8"/>
        <v>19.115646258503403</v>
      </c>
      <c r="J176" s="2">
        <f t="shared" si="9"/>
        <v>57.040358744394617</v>
      </c>
      <c r="K176" s="1">
        <f t="shared" si="10"/>
        <v>0.83952027412906916</v>
      </c>
      <c r="L176" s="1">
        <f t="shared" si="11"/>
        <v>0.63677898343803541</v>
      </c>
    </row>
    <row r="177" spans="1:12" x14ac:dyDescent="0.35">
      <c r="A177" t="s">
        <v>74</v>
      </c>
      <c r="B177">
        <v>44</v>
      </c>
      <c r="C177" t="s">
        <v>36</v>
      </c>
      <c r="D177" t="s">
        <v>46</v>
      </c>
      <c r="E177" t="s">
        <v>48</v>
      </c>
      <c r="F177">
        <v>3399</v>
      </c>
      <c r="G177">
        <v>3386</v>
      </c>
      <c r="H177">
        <v>2619</v>
      </c>
      <c r="I177" s="2">
        <f t="shared" si="8"/>
        <v>0.38393384524512697</v>
      </c>
      <c r="J177" s="2">
        <f t="shared" si="9"/>
        <v>29.782359679266897</v>
      </c>
      <c r="K177" s="1">
        <f t="shared" si="10"/>
        <v>0.99617534568990884</v>
      </c>
      <c r="L177" s="1">
        <f t="shared" si="11"/>
        <v>0.77052074139452775</v>
      </c>
    </row>
    <row r="178" spans="1:12" x14ac:dyDescent="0.35">
      <c r="A178" t="s">
        <v>90</v>
      </c>
      <c r="B178">
        <v>45</v>
      </c>
      <c r="C178" t="s">
        <v>37</v>
      </c>
      <c r="D178" t="s">
        <v>45</v>
      </c>
      <c r="E178" t="s">
        <v>47</v>
      </c>
      <c r="F178">
        <v>8378</v>
      </c>
      <c r="G178">
        <v>4627</v>
      </c>
      <c r="H178">
        <v>4116</v>
      </c>
      <c r="I178" s="2">
        <f t="shared" si="8"/>
        <v>81.067646423168355</v>
      </c>
      <c r="J178" s="2">
        <f t="shared" si="9"/>
        <v>103.54713313896988</v>
      </c>
      <c r="K178" s="1">
        <f t="shared" si="10"/>
        <v>0.55227978037717829</v>
      </c>
      <c r="L178" s="1">
        <f t="shared" si="11"/>
        <v>0.4912867032704703</v>
      </c>
    </row>
    <row r="179" spans="1:12" x14ac:dyDescent="0.35">
      <c r="A179" t="s">
        <v>90</v>
      </c>
      <c r="B179">
        <v>45</v>
      </c>
      <c r="C179" t="s">
        <v>37</v>
      </c>
      <c r="D179" t="s">
        <v>46</v>
      </c>
      <c r="E179" t="s">
        <v>47</v>
      </c>
      <c r="F179">
        <v>20338</v>
      </c>
      <c r="G179">
        <v>20403</v>
      </c>
      <c r="H179">
        <v>14297</v>
      </c>
      <c r="I179" s="2">
        <f t="shared" si="8"/>
        <v>-0.31858060089202567</v>
      </c>
      <c r="J179" s="2">
        <f t="shared" si="9"/>
        <v>42.253619640484018</v>
      </c>
      <c r="K179" s="1">
        <f t="shared" si="10"/>
        <v>1.0031959878060772</v>
      </c>
      <c r="L179" s="1">
        <f t="shared" si="11"/>
        <v>0.70296981020749338</v>
      </c>
    </row>
    <row r="180" spans="1:12" x14ac:dyDescent="0.35">
      <c r="A180" t="s">
        <v>90</v>
      </c>
      <c r="B180">
        <v>45</v>
      </c>
      <c r="C180" t="s">
        <v>37</v>
      </c>
      <c r="D180" t="s">
        <v>45</v>
      </c>
      <c r="E180" t="s">
        <v>48</v>
      </c>
      <c r="F180">
        <v>11135</v>
      </c>
      <c r="G180">
        <v>7660</v>
      </c>
      <c r="H180">
        <v>5436</v>
      </c>
      <c r="I180" s="2">
        <f t="shared" si="8"/>
        <v>45.36553524804178</v>
      </c>
      <c r="J180" s="2">
        <f t="shared" si="9"/>
        <v>104.83811626195731</v>
      </c>
      <c r="K180" s="1">
        <f t="shared" si="10"/>
        <v>0.68792096991468343</v>
      </c>
      <c r="L180" s="1">
        <f t="shared" si="11"/>
        <v>0.48819039066008085</v>
      </c>
    </row>
    <row r="181" spans="1:12" x14ac:dyDescent="0.35">
      <c r="A181" t="s">
        <v>90</v>
      </c>
      <c r="B181">
        <v>45</v>
      </c>
      <c r="C181" t="s">
        <v>37</v>
      </c>
      <c r="D181" t="s">
        <v>46</v>
      </c>
      <c r="E181" t="s">
        <v>48</v>
      </c>
      <c r="F181">
        <v>24568</v>
      </c>
      <c r="G181">
        <v>24326</v>
      </c>
      <c r="H181">
        <v>17956</v>
      </c>
      <c r="I181" s="2">
        <f t="shared" si="8"/>
        <v>0.99482035681986347</v>
      </c>
      <c r="J181" s="2">
        <f t="shared" si="9"/>
        <v>36.82334595678325</v>
      </c>
      <c r="K181" s="1">
        <f t="shared" si="10"/>
        <v>0.9901497883425594</v>
      </c>
      <c r="L181" s="1">
        <f t="shared" si="11"/>
        <v>0.730869423640508</v>
      </c>
    </row>
    <row r="182" spans="1:12" x14ac:dyDescent="0.35">
      <c r="A182" t="s">
        <v>99</v>
      </c>
      <c r="B182">
        <v>46</v>
      </c>
      <c r="C182" t="s">
        <v>38</v>
      </c>
      <c r="D182" t="s">
        <v>45</v>
      </c>
      <c r="E182" t="s">
        <v>47</v>
      </c>
      <c r="F182">
        <v>36047</v>
      </c>
      <c r="G182">
        <v>24774</v>
      </c>
      <c r="H182">
        <v>15580</v>
      </c>
      <c r="I182" s="2">
        <f t="shared" si="8"/>
        <v>45.503350286590781</v>
      </c>
      <c r="J182" s="2">
        <f t="shared" si="9"/>
        <v>131.36713735558408</v>
      </c>
      <c r="K182" s="1">
        <f t="shared" si="10"/>
        <v>0.68726939828557165</v>
      </c>
      <c r="L182" s="1">
        <f t="shared" si="11"/>
        <v>0.43221349904291617</v>
      </c>
    </row>
    <row r="183" spans="1:12" x14ac:dyDescent="0.35">
      <c r="A183" t="s">
        <v>99</v>
      </c>
      <c r="B183">
        <v>46</v>
      </c>
      <c r="C183" t="s">
        <v>38</v>
      </c>
      <c r="D183" t="s">
        <v>46</v>
      </c>
      <c r="E183" t="s">
        <v>47</v>
      </c>
      <c r="F183">
        <v>24752</v>
      </c>
      <c r="G183">
        <v>24841</v>
      </c>
      <c r="H183">
        <v>17434</v>
      </c>
      <c r="I183" s="2">
        <f t="shared" si="8"/>
        <v>-0.35827865222817112</v>
      </c>
      <c r="J183" s="2">
        <f t="shared" si="9"/>
        <v>41.975450269588158</v>
      </c>
      <c r="K183" s="1">
        <f t="shared" si="10"/>
        <v>1.0035956690368455</v>
      </c>
      <c r="L183" s="1">
        <f t="shared" si="11"/>
        <v>0.70434712346477057</v>
      </c>
    </row>
    <row r="184" spans="1:12" x14ac:dyDescent="0.35">
      <c r="A184" t="s">
        <v>99</v>
      </c>
      <c r="B184">
        <v>46</v>
      </c>
      <c r="C184" t="s">
        <v>38</v>
      </c>
      <c r="D184" t="s">
        <v>45</v>
      </c>
      <c r="E184" t="s">
        <v>48</v>
      </c>
      <c r="F184">
        <v>53925</v>
      </c>
      <c r="G184">
        <v>41021</v>
      </c>
      <c r="H184">
        <v>33600</v>
      </c>
      <c r="I184" s="2">
        <f t="shared" si="8"/>
        <v>31.457058579751834</v>
      </c>
      <c r="J184" s="2">
        <f t="shared" si="9"/>
        <v>60.491071428571431</v>
      </c>
      <c r="K184" s="1">
        <f t="shared" si="10"/>
        <v>0.76070468242930001</v>
      </c>
      <c r="L184" s="1">
        <f t="shared" si="11"/>
        <v>0.6230876216968011</v>
      </c>
    </row>
    <row r="185" spans="1:12" x14ac:dyDescent="0.35">
      <c r="A185" t="s">
        <v>99</v>
      </c>
      <c r="B185">
        <v>46</v>
      </c>
      <c r="C185" t="s">
        <v>38</v>
      </c>
      <c r="D185" t="s">
        <v>46</v>
      </c>
      <c r="E185" t="s">
        <v>48</v>
      </c>
      <c r="F185">
        <v>30092</v>
      </c>
      <c r="G185">
        <v>30093</v>
      </c>
      <c r="H185">
        <v>21273</v>
      </c>
      <c r="I185" s="2">
        <f t="shared" si="8"/>
        <v>-3.3230319343368893E-3</v>
      </c>
      <c r="J185" s="2">
        <f t="shared" si="9"/>
        <v>41.456306115733561</v>
      </c>
      <c r="K185" s="1">
        <f t="shared" si="10"/>
        <v>1.0000332314236342</v>
      </c>
      <c r="L185" s="1">
        <f t="shared" si="11"/>
        <v>0.7069320749700917</v>
      </c>
    </row>
    <row r="186" spans="1:12" x14ac:dyDescent="0.35">
      <c r="A186" t="s">
        <v>84</v>
      </c>
      <c r="B186">
        <v>47</v>
      </c>
      <c r="C186" t="s">
        <v>39</v>
      </c>
      <c r="D186" t="s">
        <v>45</v>
      </c>
      <c r="E186" t="s">
        <v>47</v>
      </c>
      <c r="F186">
        <v>3844</v>
      </c>
      <c r="G186">
        <v>2274</v>
      </c>
      <c r="H186">
        <v>2197</v>
      </c>
      <c r="I186" s="2">
        <f t="shared" si="8"/>
        <v>69.041336851363226</v>
      </c>
      <c r="J186" s="2">
        <f t="shared" si="9"/>
        <v>74.965862539827029</v>
      </c>
      <c r="K186" s="1">
        <f t="shared" si="10"/>
        <v>0.5915712799167534</v>
      </c>
      <c r="L186" s="1">
        <f t="shared" si="11"/>
        <v>0.57154006243496358</v>
      </c>
    </row>
    <row r="187" spans="1:12" x14ac:dyDescent="0.35">
      <c r="A187" t="s">
        <v>84</v>
      </c>
      <c r="B187">
        <v>47</v>
      </c>
      <c r="C187" t="s">
        <v>39</v>
      </c>
      <c r="D187" t="s">
        <v>46</v>
      </c>
      <c r="E187" t="s">
        <v>47</v>
      </c>
      <c r="F187">
        <v>7132</v>
      </c>
      <c r="G187">
        <v>7041</v>
      </c>
      <c r="H187">
        <v>5359</v>
      </c>
      <c r="I187" s="2">
        <f t="shared" si="8"/>
        <v>1.2924300525493537</v>
      </c>
      <c r="J187" s="2">
        <f t="shared" si="9"/>
        <v>33.084530696025375</v>
      </c>
      <c r="K187" s="1">
        <f t="shared" si="10"/>
        <v>0.9872406057206955</v>
      </c>
      <c r="L187" s="1">
        <f t="shared" si="11"/>
        <v>0.75140213123948396</v>
      </c>
    </row>
    <row r="188" spans="1:12" x14ac:dyDescent="0.35">
      <c r="A188" t="s">
        <v>84</v>
      </c>
      <c r="B188">
        <v>47</v>
      </c>
      <c r="C188" t="s">
        <v>39</v>
      </c>
      <c r="D188" t="s">
        <v>45</v>
      </c>
      <c r="E188" t="s">
        <v>48</v>
      </c>
      <c r="F188">
        <v>4955</v>
      </c>
      <c r="G188">
        <v>3903</v>
      </c>
      <c r="H188">
        <v>3076</v>
      </c>
      <c r="I188" s="2">
        <f t="shared" si="8"/>
        <v>26.953625416346398</v>
      </c>
      <c r="J188" s="2">
        <f t="shared" si="9"/>
        <v>61.085825747724321</v>
      </c>
      <c r="K188" s="1">
        <f t="shared" si="10"/>
        <v>0.78768920282542887</v>
      </c>
      <c r="L188" s="1">
        <f t="shared" si="11"/>
        <v>0.62078708375378411</v>
      </c>
    </row>
    <row r="189" spans="1:12" x14ac:dyDescent="0.35">
      <c r="A189" t="s">
        <v>84</v>
      </c>
      <c r="B189">
        <v>47</v>
      </c>
      <c r="C189" t="s">
        <v>39</v>
      </c>
      <c r="D189" t="s">
        <v>46</v>
      </c>
      <c r="E189" t="s">
        <v>48</v>
      </c>
      <c r="F189">
        <v>7163</v>
      </c>
      <c r="G189">
        <v>7187</v>
      </c>
      <c r="H189">
        <v>5516</v>
      </c>
      <c r="I189" s="2">
        <f t="shared" si="8"/>
        <v>-0.33393627382774455</v>
      </c>
      <c r="J189" s="2">
        <f t="shared" si="9"/>
        <v>29.858593183466279</v>
      </c>
      <c r="K189" s="1">
        <f t="shared" si="10"/>
        <v>1.0033505514449252</v>
      </c>
      <c r="L189" s="1">
        <f t="shared" si="11"/>
        <v>0.77006840709200053</v>
      </c>
    </row>
    <row r="190" spans="1:12" x14ac:dyDescent="0.35">
      <c r="A190" t="s">
        <v>70</v>
      </c>
      <c r="B190">
        <v>48</v>
      </c>
      <c r="C190" t="s">
        <v>40</v>
      </c>
      <c r="D190" t="s">
        <v>45</v>
      </c>
      <c r="E190" t="s">
        <v>47</v>
      </c>
      <c r="F190">
        <v>10346</v>
      </c>
      <c r="G190">
        <v>6587</v>
      </c>
      <c r="H190">
        <v>5728</v>
      </c>
      <c r="I190" s="2">
        <f t="shared" si="8"/>
        <v>57.066950053134967</v>
      </c>
      <c r="J190" s="2">
        <f t="shared" si="9"/>
        <v>80.621508379888269</v>
      </c>
      <c r="K190" s="1">
        <f t="shared" si="10"/>
        <v>0.6366711772665764</v>
      </c>
      <c r="L190" s="1">
        <f t="shared" si="11"/>
        <v>0.55364392035569299</v>
      </c>
    </row>
    <row r="191" spans="1:12" x14ac:dyDescent="0.35">
      <c r="A191" t="s">
        <v>70</v>
      </c>
      <c r="B191">
        <v>48</v>
      </c>
      <c r="C191" t="s">
        <v>40</v>
      </c>
      <c r="D191" t="s">
        <v>46</v>
      </c>
      <c r="E191" t="s">
        <v>47</v>
      </c>
      <c r="F191">
        <v>12963</v>
      </c>
      <c r="G191">
        <v>13059</v>
      </c>
      <c r="H191">
        <v>9967</v>
      </c>
      <c r="I191" s="2">
        <f t="shared" si="8"/>
        <v>-0.73512520101079715</v>
      </c>
      <c r="J191" s="2">
        <f t="shared" si="9"/>
        <v>30.059195344637303</v>
      </c>
      <c r="K191" s="1">
        <f t="shared" si="10"/>
        <v>1.0074056931265911</v>
      </c>
      <c r="L191" s="1">
        <f t="shared" si="11"/>
        <v>0.76888066034097047</v>
      </c>
    </row>
    <row r="192" spans="1:12" x14ac:dyDescent="0.35">
      <c r="A192" t="s">
        <v>70</v>
      </c>
      <c r="B192">
        <v>48</v>
      </c>
      <c r="C192" t="s">
        <v>40</v>
      </c>
      <c r="D192" t="s">
        <v>45</v>
      </c>
      <c r="E192" t="s">
        <v>48</v>
      </c>
      <c r="F192">
        <v>12033</v>
      </c>
      <c r="G192">
        <v>10061</v>
      </c>
      <c r="H192">
        <v>6980</v>
      </c>
      <c r="I192" s="2">
        <f t="shared" si="8"/>
        <v>19.600437332273135</v>
      </c>
      <c r="J192" s="2">
        <f t="shared" si="9"/>
        <v>72.392550143266476</v>
      </c>
      <c r="K192" s="1">
        <f t="shared" si="10"/>
        <v>0.83611734397074711</v>
      </c>
      <c r="L192" s="1">
        <f t="shared" si="11"/>
        <v>0.58007147012382609</v>
      </c>
    </row>
    <row r="193" spans="1:12" x14ac:dyDescent="0.35">
      <c r="A193" t="s">
        <v>70</v>
      </c>
      <c r="B193">
        <v>48</v>
      </c>
      <c r="C193" t="s">
        <v>40</v>
      </c>
      <c r="D193" t="s">
        <v>46</v>
      </c>
      <c r="E193" t="s">
        <v>48</v>
      </c>
      <c r="F193">
        <v>11994</v>
      </c>
      <c r="G193">
        <v>12018</v>
      </c>
      <c r="H193">
        <v>8080</v>
      </c>
      <c r="I193" s="2">
        <f t="shared" si="8"/>
        <v>-0.199700449326011</v>
      </c>
      <c r="J193" s="2">
        <f t="shared" si="9"/>
        <v>48.440594059405939</v>
      </c>
      <c r="K193" s="1">
        <f t="shared" si="10"/>
        <v>1.0020010005002502</v>
      </c>
      <c r="L193" s="1">
        <f t="shared" si="11"/>
        <v>0.67367016841754213</v>
      </c>
    </row>
    <row r="194" spans="1:12" x14ac:dyDescent="0.35">
      <c r="A194" t="s">
        <v>85</v>
      </c>
      <c r="B194">
        <v>49</v>
      </c>
      <c r="C194" t="s">
        <v>41</v>
      </c>
      <c r="D194" t="s">
        <v>45</v>
      </c>
      <c r="E194" t="s">
        <v>47</v>
      </c>
      <c r="F194">
        <v>843</v>
      </c>
      <c r="G194">
        <v>428</v>
      </c>
      <c r="H194">
        <v>459</v>
      </c>
      <c r="I194" s="2">
        <f t="shared" si="8"/>
        <v>96.962616822429908</v>
      </c>
      <c r="J194" s="2">
        <f t="shared" si="9"/>
        <v>83.66013071895425</v>
      </c>
      <c r="K194" s="1">
        <f t="shared" si="10"/>
        <v>0.50771055753262162</v>
      </c>
      <c r="L194" s="1">
        <f t="shared" si="11"/>
        <v>0.54448398576512458</v>
      </c>
    </row>
    <row r="195" spans="1:12" x14ac:dyDescent="0.35">
      <c r="A195" t="s">
        <v>85</v>
      </c>
      <c r="B195">
        <v>49</v>
      </c>
      <c r="C195" t="s">
        <v>41</v>
      </c>
      <c r="D195" t="s">
        <v>46</v>
      </c>
      <c r="E195" t="s">
        <v>47</v>
      </c>
      <c r="F195">
        <v>2897</v>
      </c>
      <c r="G195">
        <v>2904</v>
      </c>
      <c r="H195">
        <v>2286</v>
      </c>
      <c r="I195" s="2">
        <f t="shared" ref="I195:I201" si="12">(F195-G195)/G195*100</f>
        <v>-0.24104683195592286</v>
      </c>
      <c r="J195" s="2">
        <f t="shared" ref="J195:J201" si="13">(F195-H195)/H195*100</f>
        <v>26.72790901137358</v>
      </c>
      <c r="K195" s="1">
        <f t="shared" ref="K195:K201" si="14">G195/F195</f>
        <v>1.0024162927166034</v>
      </c>
      <c r="L195" s="1">
        <f t="shared" ref="L195:L201" si="15">H195/F195</f>
        <v>0.78909216430790474</v>
      </c>
    </row>
    <row r="196" spans="1:12" x14ac:dyDescent="0.35">
      <c r="A196" t="s">
        <v>85</v>
      </c>
      <c r="B196">
        <v>49</v>
      </c>
      <c r="C196" t="s">
        <v>41</v>
      </c>
      <c r="D196" t="s">
        <v>45</v>
      </c>
      <c r="E196" t="s">
        <v>48</v>
      </c>
      <c r="F196">
        <v>1244</v>
      </c>
      <c r="G196">
        <v>817</v>
      </c>
      <c r="H196">
        <v>668</v>
      </c>
      <c r="I196" s="2">
        <f t="shared" si="12"/>
        <v>52.264381884944925</v>
      </c>
      <c r="J196" s="2">
        <f t="shared" si="13"/>
        <v>86.227544910179645</v>
      </c>
      <c r="K196" s="1">
        <f t="shared" si="14"/>
        <v>0.65675241157556274</v>
      </c>
      <c r="L196" s="1">
        <f t="shared" si="15"/>
        <v>0.53697749196141475</v>
      </c>
    </row>
    <row r="197" spans="1:12" x14ac:dyDescent="0.35">
      <c r="A197" t="s">
        <v>85</v>
      </c>
      <c r="B197">
        <v>49</v>
      </c>
      <c r="C197" t="s">
        <v>41</v>
      </c>
      <c r="D197" t="s">
        <v>46</v>
      </c>
      <c r="E197" t="s">
        <v>48</v>
      </c>
      <c r="F197">
        <v>2934</v>
      </c>
      <c r="G197">
        <v>2916</v>
      </c>
      <c r="H197">
        <v>2414</v>
      </c>
      <c r="I197" s="2">
        <f t="shared" si="12"/>
        <v>0.61728395061728392</v>
      </c>
      <c r="J197" s="2">
        <f t="shared" si="13"/>
        <v>21.541010770505387</v>
      </c>
      <c r="K197" s="1">
        <f t="shared" si="14"/>
        <v>0.99386503067484666</v>
      </c>
      <c r="L197" s="1">
        <f t="shared" si="15"/>
        <v>0.82276755282890257</v>
      </c>
    </row>
    <row r="198" spans="1:12" x14ac:dyDescent="0.35">
      <c r="A198" t="s">
        <v>75</v>
      </c>
      <c r="B198">
        <v>50</v>
      </c>
      <c r="C198" t="s">
        <v>42</v>
      </c>
      <c r="D198" t="s">
        <v>45</v>
      </c>
      <c r="E198" t="s">
        <v>47</v>
      </c>
      <c r="F198">
        <v>16262</v>
      </c>
      <c r="G198">
        <v>27198</v>
      </c>
      <c r="H198">
        <v>22111</v>
      </c>
      <c r="I198" s="2">
        <f t="shared" si="12"/>
        <v>-40.208838885212153</v>
      </c>
      <c r="J198" s="2">
        <f t="shared" si="13"/>
        <v>-26.452896748224862</v>
      </c>
      <c r="K198" s="1">
        <f t="shared" si="14"/>
        <v>1.6724880088549994</v>
      </c>
      <c r="L198" s="1">
        <f t="shared" si="15"/>
        <v>1.3596728569671628</v>
      </c>
    </row>
    <row r="199" spans="1:12" x14ac:dyDescent="0.35">
      <c r="A199" t="s">
        <v>75</v>
      </c>
      <c r="B199">
        <v>50</v>
      </c>
      <c r="C199" t="s">
        <v>42</v>
      </c>
      <c r="D199" t="s">
        <v>46</v>
      </c>
      <c r="E199" t="s">
        <v>47</v>
      </c>
      <c r="F199">
        <v>12899</v>
      </c>
      <c r="G199">
        <v>12770</v>
      </c>
      <c r="H199">
        <v>9688</v>
      </c>
      <c r="I199" s="2">
        <f t="shared" si="12"/>
        <v>1.0101801096319498</v>
      </c>
      <c r="J199" s="2">
        <f t="shared" si="13"/>
        <v>33.14409578860446</v>
      </c>
      <c r="K199" s="1">
        <f t="shared" si="14"/>
        <v>0.98999922474610436</v>
      </c>
      <c r="L199" s="1">
        <f t="shared" si="15"/>
        <v>0.75106597410651987</v>
      </c>
    </row>
    <row r="200" spans="1:12" x14ac:dyDescent="0.35">
      <c r="A200" t="s">
        <v>75</v>
      </c>
      <c r="B200">
        <v>50</v>
      </c>
      <c r="C200" t="s">
        <v>42</v>
      </c>
      <c r="D200" t="s">
        <v>45</v>
      </c>
      <c r="E200" t="s">
        <v>48</v>
      </c>
      <c r="F200">
        <v>14923</v>
      </c>
      <c r="G200">
        <v>12168</v>
      </c>
      <c r="H200">
        <v>8327</v>
      </c>
      <c r="I200" s="2">
        <f t="shared" si="12"/>
        <v>22.641354372123605</v>
      </c>
      <c r="J200" s="2">
        <f t="shared" si="13"/>
        <v>79.212201272967448</v>
      </c>
      <c r="K200" s="1">
        <f t="shared" si="14"/>
        <v>0.81538564631776456</v>
      </c>
      <c r="L200" s="1">
        <f t="shared" si="15"/>
        <v>0.55799772163774042</v>
      </c>
    </row>
    <row r="201" spans="1:12" x14ac:dyDescent="0.35">
      <c r="A201" t="s">
        <v>75</v>
      </c>
      <c r="B201">
        <v>50</v>
      </c>
      <c r="C201" t="s">
        <v>42</v>
      </c>
      <c r="D201" t="s">
        <v>46</v>
      </c>
      <c r="E201" t="s">
        <v>48</v>
      </c>
      <c r="F201">
        <v>12591</v>
      </c>
      <c r="G201">
        <v>12694</v>
      </c>
      <c r="H201">
        <v>9197</v>
      </c>
      <c r="I201" s="2">
        <f t="shared" si="12"/>
        <v>-0.81140696391996214</v>
      </c>
      <c r="J201" s="2">
        <f t="shared" si="13"/>
        <v>36.903338045014678</v>
      </c>
      <c r="K201" s="1">
        <f t="shared" si="14"/>
        <v>1.0081804463505679</v>
      </c>
      <c r="L201" s="1">
        <f t="shared" si="15"/>
        <v>0.73044237947740454</v>
      </c>
    </row>
    <row r="202" spans="1:12" x14ac:dyDescent="0.35">
      <c r="A202" t="s">
        <v>114</v>
      </c>
      <c r="B202" t="s">
        <v>114</v>
      </c>
      <c r="C202" t="s">
        <v>114</v>
      </c>
      <c r="D202" t="s">
        <v>46</v>
      </c>
      <c r="E202" t="s">
        <v>48</v>
      </c>
      <c r="F202">
        <v>649096</v>
      </c>
      <c r="G202">
        <v>650795</v>
      </c>
      <c r="H202">
        <v>479143</v>
      </c>
      <c r="I202" s="2">
        <f t="shared" ref="I202:I205" si="16">(F202-G202)/G202*100</f>
        <v>-0.26106531242557179</v>
      </c>
      <c r="J202" s="2">
        <f t="shared" ref="J202:J205" si="17">(F202-H202)/H202*100</f>
        <v>35.470204093558714</v>
      </c>
      <c r="K202" s="1">
        <f t="shared" ref="K202:K205" si="18">G202/F202</f>
        <v>1.0026174864734954</v>
      </c>
      <c r="L202" s="1">
        <f t="shared" ref="L202:L205" si="19">H202/F202</f>
        <v>0.73816970062979903</v>
      </c>
    </row>
    <row r="203" spans="1:12" x14ac:dyDescent="0.35">
      <c r="A203" t="s">
        <v>114</v>
      </c>
      <c r="B203" t="s">
        <v>114</v>
      </c>
      <c r="C203" t="s">
        <v>114</v>
      </c>
      <c r="D203" t="s">
        <v>46</v>
      </c>
      <c r="E203" t="s">
        <v>47</v>
      </c>
      <c r="F203">
        <v>646787</v>
      </c>
      <c r="G203">
        <v>648391</v>
      </c>
      <c r="H203">
        <v>476032</v>
      </c>
      <c r="I203" s="2">
        <f t="shared" si="16"/>
        <v>-0.24738159536452542</v>
      </c>
      <c r="J203" s="2">
        <f t="shared" si="17"/>
        <v>35.870487698306</v>
      </c>
      <c r="K203" s="1">
        <f t="shared" si="18"/>
        <v>1.0024799508957354</v>
      </c>
      <c r="L203" s="1">
        <f t="shared" si="19"/>
        <v>0.73599500299171139</v>
      </c>
    </row>
    <row r="204" spans="1:12" x14ac:dyDescent="0.35">
      <c r="A204" t="s">
        <v>114</v>
      </c>
      <c r="B204" t="s">
        <v>114</v>
      </c>
      <c r="C204" t="s">
        <v>114</v>
      </c>
      <c r="D204" t="s">
        <v>45</v>
      </c>
      <c r="E204" t="s">
        <v>48</v>
      </c>
      <c r="F204">
        <v>885724</v>
      </c>
      <c r="G204">
        <v>660727</v>
      </c>
      <c r="H204">
        <v>526907</v>
      </c>
      <c r="I204" s="2">
        <f t="shared" si="16"/>
        <v>34.052944710901777</v>
      </c>
      <c r="J204" s="2">
        <f t="shared" si="17"/>
        <v>68.098734691321241</v>
      </c>
      <c r="K204" s="1">
        <f t="shared" si="18"/>
        <v>0.74597391512480182</v>
      </c>
      <c r="L204" s="1">
        <f t="shared" si="19"/>
        <v>0.59488847541672119</v>
      </c>
    </row>
    <row r="205" spans="1:12" x14ac:dyDescent="0.35">
      <c r="A205" t="s">
        <v>114</v>
      </c>
      <c r="B205" t="s">
        <v>114</v>
      </c>
      <c r="C205" t="s">
        <v>114</v>
      </c>
      <c r="D205" t="s">
        <v>45</v>
      </c>
      <c r="E205" t="s">
        <v>47</v>
      </c>
      <c r="F205">
        <v>693976</v>
      </c>
      <c r="G205">
        <v>451187</v>
      </c>
      <c r="H205">
        <v>379755</v>
      </c>
      <c r="I205" s="2">
        <f t="shared" si="16"/>
        <v>53.811169204786488</v>
      </c>
      <c r="J205" s="2">
        <f t="shared" si="17"/>
        <v>82.743084357019654</v>
      </c>
      <c r="K205" s="1">
        <f t="shared" si="18"/>
        <v>0.6501478437294661</v>
      </c>
      <c r="L205" s="1">
        <f t="shared" si="19"/>
        <v>0.54721633024773186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Data_NUTS3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Miguel González Leonardo</cp:lastModifiedBy>
  <dcterms:created xsi:type="dcterms:W3CDTF">2025-01-09T01:41:19Z</dcterms:created>
  <dcterms:modified xsi:type="dcterms:W3CDTF">2025-01-23T03:11:19Z</dcterms:modified>
</cp:coreProperties>
</file>