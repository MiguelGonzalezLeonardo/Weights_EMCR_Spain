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escolmex-my.sharepoint.com/personal/miguel_gonzalez_colmex_mx/Documents/Drive/Publicaciones___/EMCR_EVR_EM/EnglishV/"/>
    </mc:Choice>
  </mc:AlternateContent>
  <xr:revisionPtr revIDLastSave="231" documentId="8_{2CEDAC18-F3B8-4592-BA2B-804DF4FB2F76}" xr6:coauthVersionLast="47" xr6:coauthVersionMax="47" xr10:uidLastSave="{CB594D33-6DC1-4421-99B0-17370ADB9A10}"/>
  <bookViews>
    <workbookView xWindow="-110" yWindow="-110" windowWidth="19420" windowHeight="11500" xr2:uid="{C7A7856C-375D-42E5-8792-C536B8DB3955}"/>
  </bookViews>
  <sheets>
    <sheet name="Data_NUT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L2" i="1"/>
  <c r="K2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</calcChain>
</file>

<file path=xl/sharedStrings.xml><?xml version="1.0" encoding="utf-8"?>
<sst xmlns="http://schemas.openxmlformats.org/spreadsheetml/2006/main" count="304" uniqueCount="51">
  <si>
    <t>name</t>
  </si>
  <si>
    <t>EM</t>
  </si>
  <si>
    <t>EMCR</t>
  </si>
  <si>
    <t>EVR</t>
  </si>
  <si>
    <t>Asturias</t>
  </si>
  <si>
    <t>Baleares</t>
  </si>
  <si>
    <t>Canarias</t>
  </si>
  <si>
    <t>Cantabria</t>
  </si>
  <si>
    <t>Castilla-La Mancha</t>
  </si>
  <si>
    <t>C. Valenciana</t>
  </si>
  <si>
    <t>Extremadura</t>
  </si>
  <si>
    <t>Galicia</t>
  </si>
  <si>
    <t>Madrid</t>
  </si>
  <si>
    <t>Murcia</t>
  </si>
  <si>
    <t>Navarra</t>
  </si>
  <si>
    <t>La Rioja</t>
  </si>
  <si>
    <t>code_INE</t>
  </si>
  <si>
    <t>move</t>
  </si>
  <si>
    <t>type</t>
  </si>
  <si>
    <t>Out-migration</t>
  </si>
  <si>
    <t>In-migration</t>
  </si>
  <si>
    <t>International migration</t>
  </si>
  <si>
    <t>Internal migration</t>
  </si>
  <si>
    <t>Total</t>
  </si>
  <si>
    <t>Dif_EVR</t>
  </si>
  <si>
    <t>Dif_EM</t>
  </si>
  <si>
    <t>Andalucía</t>
  </si>
  <si>
    <t>Aragón</t>
  </si>
  <si>
    <t>Castilla y León</t>
  </si>
  <si>
    <t>Cataluña</t>
  </si>
  <si>
    <t>País Vasco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</si>
  <si>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</si>
  <si>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</si>
  <si>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</si>
  <si>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</si>
  <si>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</si>
  <si>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</si>
  <si>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</si>
  <si>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</si>
  <si>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</si>
  <si>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</si>
  <si>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</si>
  <si>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</si>
  <si>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</si>
  <si>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</si>
  <si>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</si>
  <si>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</si>
  <si>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ES70</t>
  </si>
  <si>
    <t>code_Eurostat</t>
  </si>
  <si>
    <t>Weights_EVR</t>
  </si>
  <si>
    <t>Weights_EM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</si>
</sst>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F334-5D60-4974-A49B-341ED05B3351}">
  <dimension ref="A1:L73"/>
  <sheetViews>
    <sheetView tabSelected="1" workbookViewId="0"/>
  </sheetViews>
  <sheetFormatPr baseColWidth="10" defaultRowHeight="14.5" x14ac:dyDescent="0.35"/>
  <cols>
    <col min="1" max="1" width="12.81640625" customWidth="1"/>
    <col min="3" max="3" width="11" customWidth="1"/>
    <col min="4" max="4" width="19.7265625" customWidth="1"/>
    <col min="5" max="5" width="14.08984375" customWidth="1"/>
    <col min="11" max="11" width="12.81640625" customWidth="1"/>
    <col min="12" max="12" width="13.1796875" customWidth="1"/>
  </cols>
  <sheetData>
    <row r="1" spans="1:12" x14ac:dyDescent="0.35">
      <c r="A1" t="s">
        <v>48</v>
      </c>
      <c r="B1" t="s">
        <v>16</v>
      </c>
      <c r="C1" t="s">
        <v>0</v>
      </c>
      <c r="D1" t="s">
        <v>18</v>
      </c>
      <c r="E1" t="s">
        <v>17</v>
      </c>
      <c r="F1" t="s">
        <v>2</v>
      </c>
      <c r="G1" t="s">
        <v>3</v>
      </c>
      <c r="H1" t="s">
        <v>1</v>
      </c>
      <c r="I1" t="s">
        <v>24</v>
      </c>
      <c r="J1" t="s">
        <v>25</v>
      </c>
      <c r="K1" t="s">
        <v>49</v>
      </c>
      <c r="L1" t="s">
        <v>50</v>
      </c>
    </row>
    <row r="2" spans="1:12" x14ac:dyDescent="0.35">
      <c r="A2" t="s">
        <v>45</v>
      </c>
      <c r="B2">
        <v>1</v>
      </c>
      <c r="C2" t="s">
        <v>26</v>
      </c>
      <c r="D2" t="s">
        <v>21</v>
      </c>
      <c r="E2" t="s">
        <v>19</v>
      </c>
      <c r="F2">
        <v>99193</v>
      </c>
      <c r="G2">
        <v>56511</v>
      </c>
      <c r="H2">
        <v>52536</v>
      </c>
      <c r="I2" s="2">
        <f>(F2-G2)/G2*100</f>
        <v>75.528658137353787</v>
      </c>
      <c r="J2" s="2">
        <f>(F2-H2)/H2*100</f>
        <v>88.809578194000309</v>
      </c>
      <c r="K2" s="1">
        <f>G2/F2</f>
        <v>0.56970753984656175</v>
      </c>
      <c r="L2" s="1">
        <f>H2/F2</f>
        <v>0.52963414757089711</v>
      </c>
    </row>
    <row r="3" spans="1:12" x14ac:dyDescent="0.35">
      <c r="A3" t="s">
        <v>45</v>
      </c>
      <c r="B3">
        <v>1</v>
      </c>
      <c r="C3" t="s">
        <v>26</v>
      </c>
      <c r="D3" t="s">
        <v>22</v>
      </c>
      <c r="E3" t="s">
        <v>19</v>
      </c>
      <c r="F3">
        <v>59904</v>
      </c>
      <c r="G3">
        <v>60264</v>
      </c>
      <c r="H3">
        <v>44027</v>
      </c>
      <c r="I3" s="2">
        <f t="shared" ref="I3:I66" si="0">(F3-G3)/G3*100</f>
        <v>-0.59737156511350065</v>
      </c>
      <c r="J3" s="2">
        <f t="shared" ref="J3:J66" si="1">(F3-H3)/H3*100</f>
        <v>36.06196197787721</v>
      </c>
      <c r="K3" s="1">
        <f t="shared" ref="K3:K66" si="2">G3/F3</f>
        <v>1.0060096153846154</v>
      </c>
      <c r="L3" s="1">
        <f t="shared" ref="L3:L66" si="3">H3/F3</f>
        <v>0.73495926816239321</v>
      </c>
    </row>
    <row r="4" spans="1:12" x14ac:dyDescent="0.35">
      <c r="A4" t="s">
        <v>45</v>
      </c>
      <c r="B4">
        <v>1</v>
      </c>
      <c r="C4" t="s">
        <v>26</v>
      </c>
      <c r="D4" t="s">
        <v>21</v>
      </c>
      <c r="E4" t="s">
        <v>20</v>
      </c>
      <c r="F4">
        <v>131666</v>
      </c>
      <c r="G4">
        <v>95325</v>
      </c>
      <c r="H4">
        <v>78116</v>
      </c>
      <c r="I4" s="2">
        <f t="shared" si="0"/>
        <v>38.123262522947812</v>
      </c>
      <c r="J4" s="2">
        <f t="shared" si="1"/>
        <v>68.551897178554967</v>
      </c>
      <c r="K4" s="1">
        <f t="shared" si="2"/>
        <v>0.72399100754940526</v>
      </c>
      <c r="L4" s="1">
        <f t="shared" si="3"/>
        <v>0.59328907994470859</v>
      </c>
    </row>
    <row r="5" spans="1:12" x14ac:dyDescent="0.35">
      <c r="A5" t="s">
        <v>45</v>
      </c>
      <c r="B5">
        <v>1</v>
      </c>
      <c r="C5" t="s">
        <v>26</v>
      </c>
      <c r="D5" t="s">
        <v>22</v>
      </c>
      <c r="E5" t="s">
        <v>20</v>
      </c>
      <c r="F5">
        <v>63769</v>
      </c>
      <c r="G5">
        <v>63977</v>
      </c>
      <c r="H5">
        <v>49246</v>
      </c>
      <c r="I5" s="2">
        <f t="shared" si="0"/>
        <v>-0.32511683886396675</v>
      </c>
      <c r="J5" s="2">
        <f t="shared" si="1"/>
        <v>29.490720058481905</v>
      </c>
      <c r="K5" s="1">
        <f t="shared" si="2"/>
        <v>1.0032617729617839</v>
      </c>
      <c r="L5" s="1">
        <f t="shared" si="3"/>
        <v>0.7722561119039032</v>
      </c>
    </row>
    <row r="6" spans="1:12" x14ac:dyDescent="0.35">
      <c r="A6" t="s">
        <v>37</v>
      </c>
      <c r="B6">
        <v>2</v>
      </c>
      <c r="C6" t="s">
        <v>27</v>
      </c>
      <c r="D6" t="s">
        <v>21</v>
      </c>
      <c r="E6" t="s">
        <v>19</v>
      </c>
      <c r="F6">
        <v>20291</v>
      </c>
      <c r="G6">
        <v>29563</v>
      </c>
      <c r="H6">
        <v>24269</v>
      </c>
      <c r="I6" s="2">
        <f t="shared" si="0"/>
        <v>-31.363528735243378</v>
      </c>
      <c r="J6" s="2">
        <f t="shared" si="1"/>
        <v>-16.391281058140013</v>
      </c>
      <c r="K6" s="1">
        <f t="shared" si="2"/>
        <v>1.456951357744813</v>
      </c>
      <c r="L6" s="1">
        <f t="shared" si="3"/>
        <v>1.1960475087477207</v>
      </c>
    </row>
    <row r="7" spans="1:12" x14ac:dyDescent="0.35">
      <c r="A7" t="s">
        <v>37</v>
      </c>
      <c r="B7">
        <v>2</v>
      </c>
      <c r="C7" t="s">
        <v>27</v>
      </c>
      <c r="D7" t="s">
        <v>22</v>
      </c>
      <c r="E7" t="s">
        <v>19</v>
      </c>
      <c r="F7">
        <v>16334</v>
      </c>
      <c r="G7">
        <v>16237</v>
      </c>
      <c r="H7">
        <v>11780</v>
      </c>
      <c r="I7" s="2">
        <f t="shared" si="0"/>
        <v>0.59740099772125388</v>
      </c>
      <c r="J7" s="2">
        <f t="shared" si="1"/>
        <v>38.658743633276735</v>
      </c>
      <c r="K7" s="1">
        <f t="shared" si="2"/>
        <v>0.99406146687890296</v>
      </c>
      <c r="L7" s="1">
        <f t="shared" si="3"/>
        <v>0.72119505326313216</v>
      </c>
    </row>
    <row r="8" spans="1:12" x14ac:dyDescent="0.35">
      <c r="A8" t="s">
        <v>37</v>
      </c>
      <c r="B8">
        <v>2</v>
      </c>
      <c r="C8" t="s">
        <v>27</v>
      </c>
      <c r="D8" t="s">
        <v>21</v>
      </c>
      <c r="E8" t="s">
        <v>20</v>
      </c>
      <c r="F8">
        <v>20567</v>
      </c>
      <c r="G8">
        <v>16478</v>
      </c>
      <c r="H8">
        <v>11608</v>
      </c>
      <c r="I8" s="2">
        <f t="shared" si="0"/>
        <v>24.81490472144678</v>
      </c>
      <c r="J8" s="2">
        <f t="shared" si="1"/>
        <v>77.179531357684368</v>
      </c>
      <c r="K8" s="1">
        <f t="shared" si="2"/>
        <v>0.80118636650945685</v>
      </c>
      <c r="L8" s="1">
        <f t="shared" si="3"/>
        <v>0.5643992804006418</v>
      </c>
    </row>
    <row r="9" spans="1:12" x14ac:dyDescent="0.35">
      <c r="A9" t="s">
        <v>37</v>
      </c>
      <c r="B9">
        <v>2</v>
      </c>
      <c r="C9" t="s">
        <v>27</v>
      </c>
      <c r="D9" t="s">
        <v>22</v>
      </c>
      <c r="E9" t="s">
        <v>20</v>
      </c>
      <c r="F9">
        <v>17094</v>
      </c>
      <c r="G9">
        <v>17182</v>
      </c>
      <c r="H9">
        <v>12578</v>
      </c>
      <c r="I9" s="2">
        <f t="shared" si="0"/>
        <v>-0.51216389244558258</v>
      </c>
      <c r="J9" s="2">
        <f t="shared" si="1"/>
        <v>35.903959294005404</v>
      </c>
      <c r="K9" s="1">
        <f t="shared" si="2"/>
        <v>1.0051480051480051</v>
      </c>
      <c r="L9" s="1">
        <f t="shared" si="3"/>
        <v>0.73581373581373577</v>
      </c>
    </row>
    <row r="10" spans="1:12" x14ac:dyDescent="0.35">
      <c r="A10" t="s">
        <v>32</v>
      </c>
      <c r="B10">
        <v>3</v>
      </c>
      <c r="C10" t="s">
        <v>4</v>
      </c>
      <c r="D10" t="s">
        <v>21</v>
      </c>
      <c r="E10" t="s">
        <v>19</v>
      </c>
      <c r="F10">
        <v>6256</v>
      </c>
      <c r="G10">
        <v>3791</v>
      </c>
      <c r="H10">
        <v>3537</v>
      </c>
      <c r="I10" s="2">
        <f t="shared" si="0"/>
        <v>65.02242152466367</v>
      </c>
      <c r="J10" s="2">
        <f t="shared" si="1"/>
        <v>76.873056262369246</v>
      </c>
      <c r="K10" s="1">
        <f t="shared" si="2"/>
        <v>0.60597826086956519</v>
      </c>
      <c r="L10" s="1">
        <f t="shared" si="3"/>
        <v>0.56537723785166238</v>
      </c>
    </row>
    <row r="11" spans="1:12" x14ac:dyDescent="0.35">
      <c r="A11" t="s">
        <v>32</v>
      </c>
      <c r="B11">
        <v>3</v>
      </c>
      <c r="C11" t="s">
        <v>4</v>
      </c>
      <c r="D11" t="s">
        <v>22</v>
      </c>
      <c r="E11" t="s">
        <v>19</v>
      </c>
      <c r="F11">
        <v>9762</v>
      </c>
      <c r="G11">
        <v>9712</v>
      </c>
      <c r="H11">
        <v>6988</v>
      </c>
      <c r="I11" s="2">
        <f t="shared" si="0"/>
        <v>0.51482701812191101</v>
      </c>
      <c r="J11" s="2">
        <f t="shared" si="1"/>
        <v>39.696622781911849</v>
      </c>
      <c r="K11" s="1">
        <f t="shared" si="2"/>
        <v>0.99487809875025612</v>
      </c>
      <c r="L11" s="1">
        <f t="shared" si="3"/>
        <v>0.71583691866420818</v>
      </c>
    </row>
    <row r="12" spans="1:12" x14ac:dyDescent="0.35">
      <c r="A12" t="s">
        <v>32</v>
      </c>
      <c r="B12">
        <v>3</v>
      </c>
      <c r="C12" t="s">
        <v>4</v>
      </c>
      <c r="D12" t="s">
        <v>21</v>
      </c>
      <c r="E12" t="s">
        <v>20</v>
      </c>
      <c r="F12">
        <v>7566</v>
      </c>
      <c r="G12">
        <v>5910</v>
      </c>
      <c r="H12">
        <v>4877</v>
      </c>
      <c r="I12" s="2">
        <f t="shared" si="0"/>
        <v>28.020304568527919</v>
      </c>
      <c r="J12" s="2">
        <f t="shared" si="1"/>
        <v>55.136354316177986</v>
      </c>
      <c r="K12" s="1">
        <f t="shared" si="2"/>
        <v>0.78112609040444092</v>
      </c>
      <c r="L12" s="1">
        <f t="shared" si="3"/>
        <v>0.64459423737774257</v>
      </c>
    </row>
    <row r="13" spans="1:12" x14ac:dyDescent="0.35">
      <c r="A13" t="s">
        <v>32</v>
      </c>
      <c r="B13">
        <v>3</v>
      </c>
      <c r="C13" t="s">
        <v>4</v>
      </c>
      <c r="D13" t="s">
        <v>22</v>
      </c>
      <c r="E13" t="s">
        <v>20</v>
      </c>
      <c r="F13">
        <v>9892</v>
      </c>
      <c r="G13">
        <v>10020</v>
      </c>
      <c r="H13">
        <v>7614</v>
      </c>
      <c r="I13" s="2">
        <f t="shared" si="0"/>
        <v>-1.2774451097804391</v>
      </c>
      <c r="J13" s="2">
        <f t="shared" si="1"/>
        <v>29.918571053322829</v>
      </c>
      <c r="K13" s="1">
        <f t="shared" si="2"/>
        <v>1.0129397492923575</v>
      </c>
      <c r="L13" s="1">
        <f t="shared" si="3"/>
        <v>0.7697128993125758</v>
      </c>
    </row>
    <row r="14" spans="1:12" x14ac:dyDescent="0.35">
      <c r="A14" t="s">
        <v>44</v>
      </c>
      <c r="B14">
        <v>4</v>
      </c>
      <c r="C14" t="s">
        <v>5</v>
      </c>
      <c r="D14" t="s">
        <v>21</v>
      </c>
      <c r="E14" t="s">
        <v>19</v>
      </c>
      <c r="F14">
        <v>27669</v>
      </c>
      <c r="G14">
        <v>13566</v>
      </c>
      <c r="H14">
        <v>11850</v>
      </c>
      <c r="I14" s="2">
        <f t="shared" si="0"/>
        <v>103.95842547545332</v>
      </c>
      <c r="J14" s="2">
        <f t="shared" si="1"/>
        <v>133.49367088607596</v>
      </c>
      <c r="K14" s="1">
        <f t="shared" si="2"/>
        <v>0.4902959991326033</v>
      </c>
      <c r="L14" s="1">
        <f t="shared" si="3"/>
        <v>0.42827713325382194</v>
      </c>
    </row>
    <row r="15" spans="1:12" x14ac:dyDescent="0.35">
      <c r="A15" t="s">
        <v>44</v>
      </c>
      <c r="B15">
        <v>4</v>
      </c>
      <c r="C15" t="s">
        <v>5</v>
      </c>
      <c r="D15" t="s">
        <v>22</v>
      </c>
      <c r="E15" t="s">
        <v>19</v>
      </c>
      <c r="F15">
        <v>20463</v>
      </c>
      <c r="G15">
        <v>20675</v>
      </c>
      <c r="H15">
        <v>15509</v>
      </c>
      <c r="I15" s="2">
        <f t="shared" si="0"/>
        <v>-1.0253929866989118</v>
      </c>
      <c r="J15" s="2">
        <f t="shared" si="1"/>
        <v>31.942742923463797</v>
      </c>
      <c r="K15" s="1">
        <f t="shared" si="2"/>
        <v>1.0103601622440503</v>
      </c>
      <c r="L15" s="1">
        <f t="shared" si="3"/>
        <v>0.75790451058007136</v>
      </c>
    </row>
    <row r="16" spans="1:12" x14ac:dyDescent="0.35">
      <c r="A16" t="s">
        <v>44</v>
      </c>
      <c r="B16">
        <v>4</v>
      </c>
      <c r="C16" t="s">
        <v>5</v>
      </c>
      <c r="D16" t="s">
        <v>21</v>
      </c>
      <c r="E16" t="s">
        <v>20</v>
      </c>
      <c r="F16">
        <v>31401</v>
      </c>
      <c r="G16">
        <v>20942</v>
      </c>
      <c r="H16">
        <v>17576</v>
      </c>
      <c r="I16" s="2">
        <f t="shared" si="0"/>
        <v>49.942698882628214</v>
      </c>
      <c r="J16" s="2">
        <f t="shared" si="1"/>
        <v>78.658397815202548</v>
      </c>
      <c r="K16" s="1">
        <f t="shared" si="2"/>
        <v>0.66692143562306938</v>
      </c>
      <c r="L16" s="1">
        <f t="shared" si="3"/>
        <v>0.5597273972166491</v>
      </c>
    </row>
    <row r="17" spans="1:12" x14ac:dyDescent="0.35">
      <c r="A17" t="s">
        <v>44</v>
      </c>
      <c r="B17">
        <v>4</v>
      </c>
      <c r="C17" t="s">
        <v>5</v>
      </c>
      <c r="D17" t="s">
        <v>22</v>
      </c>
      <c r="E17" t="s">
        <v>20</v>
      </c>
      <c r="F17">
        <v>19068</v>
      </c>
      <c r="G17">
        <v>19132</v>
      </c>
      <c r="H17">
        <v>13318</v>
      </c>
      <c r="I17" s="2">
        <f t="shared" si="0"/>
        <v>-0.33451808488396401</v>
      </c>
      <c r="J17" s="2">
        <f t="shared" si="1"/>
        <v>43.17465084847575</v>
      </c>
      <c r="K17" s="1">
        <f t="shared" si="2"/>
        <v>1.0033564086427522</v>
      </c>
      <c r="L17" s="1">
        <f t="shared" si="3"/>
        <v>0.69844766100272704</v>
      </c>
    </row>
    <row r="18" spans="1:12" x14ac:dyDescent="0.35">
      <c r="A18" t="s">
        <v>47</v>
      </c>
      <c r="B18">
        <v>5</v>
      </c>
      <c r="C18" t="s">
        <v>6</v>
      </c>
      <c r="D18" t="s">
        <v>21</v>
      </c>
      <c r="E18" t="s">
        <v>19</v>
      </c>
      <c r="F18">
        <v>35516</v>
      </c>
      <c r="G18">
        <v>15050</v>
      </c>
      <c r="H18">
        <v>14792</v>
      </c>
      <c r="I18" s="2">
        <f t="shared" si="0"/>
        <v>135.98671096345515</v>
      </c>
      <c r="J18" s="2">
        <f t="shared" si="1"/>
        <v>140.10275824770147</v>
      </c>
      <c r="K18" s="1">
        <f t="shared" si="2"/>
        <v>0.4237526748507715</v>
      </c>
      <c r="L18" s="1">
        <f t="shared" si="3"/>
        <v>0.4164883432819011</v>
      </c>
    </row>
    <row r="19" spans="1:12" x14ac:dyDescent="0.35">
      <c r="A19" t="s">
        <v>47</v>
      </c>
      <c r="B19">
        <v>5</v>
      </c>
      <c r="C19" t="s">
        <v>6</v>
      </c>
      <c r="D19" t="s">
        <v>22</v>
      </c>
      <c r="E19" t="s">
        <v>19</v>
      </c>
      <c r="F19">
        <v>23583</v>
      </c>
      <c r="G19">
        <v>23582</v>
      </c>
      <c r="H19">
        <v>16406</v>
      </c>
      <c r="I19" s="2">
        <f t="shared" si="0"/>
        <v>4.2405224323636666E-3</v>
      </c>
      <c r="J19" s="2">
        <f t="shared" si="1"/>
        <v>43.746190418139705</v>
      </c>
      <c r="K19" s="1">
        <f t="shared" si="2"/>
        <v>0.99995759657380312</v>
      </c>
      <c r="L19" s="1">
        <f t="shared" si="3"/>
        <v>0.69567061018530296</v>
      </c>
    </row>
    <row r="20" spans="1:12" x14ac:dyDescent="0.35">
      <c r="A20" t="s">
        <v>47</v>
      </c>
      <c r="B20">
        <v>5</v>
      </c>
      <c r="C20" t="s">
        <v>6</v>
      </c>
      <c r="D20" t="s">
        <v>21</v>
      </c>
      <c r="E20" t="s">
        <v>20</v>
      </c>
      <c r="F20">
        <v>46961</v>
      </c>
      <c r="G20">
        <v>32143</v>
      </c>
      <c r="H20">
        <v>27480</v>
      </c>
      <c r="I20" s="2">
        <f t="shared" si="0"/>
        <v>46.100239554490869</v>
      </c>
      <c r="J20" s="2">
        <f t="shared" si="1"/>
        <v>70.891557496360988</v>
      </c>
      <c r="K20" s="1">
        <f t="shared" si="2"/>
        <v>0.68446157449798772</v>
      </c>
      <c r="L20" s="1">
        <f t="shared" si="3"/>
        <v>0.58516641468452546</v>
      </c>
    </row>
    <row r="21" spans="1:12" x14ac:dyDescent="0.35">
      <c r="A21" t="s">
        <v>47</v>
      </c>
      <c r="B21">
        <v>5</v>
      </c>
      <c r="C21" t="s">
        <v>6</v>
      </c>
      <c r="D21" t="s">
        <v>22</v>
      </c>
      <c r="E21" t="s">
        <v>20</v>
      </c>
      <c r="F21">
        <v>22917</v>
      </c>
      <c r="G21">
        <v>22887</v>
      </c>
      <c r="H21">
        <v>16105</v>
      </c>
      <c r="I21" s="2">
        <f t="shared" si="0"/>
        <v>0.13107877834578582</v>
      </c>
      <c r="J21" s="2">
        <f t="shared" si="1"/>
        <v>42.297423160509155</v>
      </c>
      <c r="K21" s="1">
        <f t="shared" si="2"/>
        <v>0.99869092813195448</v>
      </c>
      <c r="L21" s="1">
        <f t="shared" si="3"/>
        <v>0.7027534144957891</v>
      </c>
    </row>
    <row r="22" spans="1:12" x14ac:dyDescent="0.35">
      <c r="A22" t="s">
        <v>33</v>
      </c>
      <c r="B22">
        <v>6</v>
      </c>
      <c r="C22" t="s">
        <v>7</v>
      </c>
      <c r="D22" t="s">
        <v>21</v>
      </c>
      <c r="E22" t="s">
        <v>19</v>
      </c>
      <c r="F22">
        <v>3800</v>
      </c>
      <c r="G22">
        <v>2298</v>
      </c>
      <c r="H22">
        <v>2156</v>
      </c>
      <c r="I22" s="2">
        <f t="shared" si="0"/>
        <v>65.361183637946041</v>
      </c>
      <c r="J22" s="2">
        <f t="shared" si="1"/>
        <v>76.252319109461965</v>
      </c>
      <c r="K22" s="1">
        <f t="shared" si="2"/>
        <v>0.60473684210526313</v>
      </c>
      <c r="L22" s="1">
        <f t="shared" si="3"/>
        <v>0.56736842105263163</v>
      </c>
    </row>
    <row r="23" spans="1:12" x14ac:dyDescent="0.35">
      <c r="A23" t="s">
        <v>33</v>
      </c>
      <c r="B23">
        <v>6</v>
      </c>
      <c r="C23" t="s">
        <v>7</v>
      </c>
      <c r="D23" t="s">
        <v>22</v>
      </c>
      <c r="E23" t="s">
        <v>19</v>
      </c>
      <c r="F23">
        <v>8243</v>
      </c>
      <c r="G23">
        <v>8180</v>
      </c>
      <c r="H23">
        <v>5585</v>
      </c>
      <c r="I23" s="2">
        <f t="shared" si="0"/>
        <v>0.77017114914425433</v>
      </c>
      <c r="J23" s="2">
        <f t="shared" si="1"/>
        <v>47.591763652640999</v>
      </c>
      <c r="K23" s="1">
        <f t="shared" si="2"/>
        <v>0.99235715152250392</v>
      </c>
      <c r="L23" s="1">
        <f t="shared" si="3"/>
        <v>0.67754458328278544</v>
      </c>
    </row>
    <row r="24" spans="1:12" x14ac:dyDescent="0.35">
      <c r="A24" t="s">
        <v>33</v>
      </c>
      <c r="B24">
        <v>6</v>
      </c>
      <c r="C24" t="s">
        <v>7</v>
      </c>
      <c r="D24" t="s">
        <v>21</v>
      </c>
      <c r="E24" t="s">
        <v>20</v>
      </c>
      <c r="F24">
        <v>5989</v>
      </c>
      <c r="G24">
        <v>4742</v>
      </c>
      <c r="H24">
        <v>3882</v>
      </c>
      <c r="I24" s="2">
        <f t="shared" si="0"/>
        <v>26.296921130324758</v>
      </c>
      <c r="J24" s="2">
        <f t="shared" si="1"/>
        <v>54.276146316331783</v>
      </c>
      <c r="K24" s="1">
        <f t="shared" si="2"/>
        <v>0.79178493905493408</v>
      </c>
      <c r="L24" s="1">
        <f t="shared" si="3"/>
        <v>0.64818834529971614</v>
      </c>
    </row>
    <row r="25" spans="1:12" x14ac:dyDescent="0.35">
      <c r="A25" t="s">
        <v>33</v>
      </c>
      <c r="B25">
        <v>6</v>
      </c>
      <c r="C25" t="s">
        <v>7</v>
      </c>
      <c r="D25" t="s">
        <v>22</v>
      </c>
      <c r="E25" t="s">
        <v>20</v>
      </c>
      <c r="F25">
        <v>9681</v>
      </c>
      <c r="G25">
        <v>9745</v>
      </c>
      <c r="H25">
        <v>7362</v>
      </c>
      <c r="I25" s="2">
        <f t="shared" si="0"/>
        <v>-0.65674704976911236</v>
      </c>
      <c r="J25" s="2">
        <f t="shared" si="1"/>
        <v>31.499592502037487</v>
      </c>
      <c r="K25" s="1">
        <f t="shared" si="2"/>
        <v>1.0066108873050306</v>
      </c>
      <c r="L25" s="1">
        <f t="shared" si="3"/>
        <v>0.76045863030678651</v>
      </c>
    </row>
    <row r="26" spans="1:12" x14ac:dyDescent="0.35">
      <c r="A26" t="s">
        <v>39</v>
      </c>
      <c r="B26">
        <v>7</v>
      </c>
      <c r="C26" t="s">
        <v>28</v>
      </c>
      <c r="D26" t="s">
        <v>21</v>
      </c>
      <c r="E26" t="s">
        <v>19</v>
      </c>
      <c r="F26">
        <v>17991</v>
      </c>
      <c r="G26">
        <v>9692</v>
      </c>
      <c r="H26">
        <v>10036</v>
      </c>
      <c r="I26" s="2">
        <f t="shared" si="0"/>
        <v>85.627321502269922</v>
      </c>
      <c r="J26" s="2">
        <f t="shared" si="1"/>
        <v>79.264647269828615</v>
      </c>
      <c r="K26" s="1">
        <f t="shared" si="2"/>
        <v>0.53871380134511704</v>
      </c>
      <c r="L26" s="1">
        <f t="shared" si="3"/>
        <v>0.55783447279195153</v>
      </c>
    </row>
    <row r="27" spans="1:12" x14ac:dyDescent="0.35">
      <c r="A27" t="s">
        <v>39</v>
      </c>
      <c r="B27">
        <v>7</v>
      </c>
      <c r="C27" t="s">
        <v>28</v>
      </c>
      <c r="D27" t="s">
        <v>22</v>
      </c>
      <c r="E27" t="s">
        <v>19</v>
      </c>
      <c r="F27">
        <v>32456</v>
      </c>
      <c r="G27">
        <v>32426</v>
      </c>
      <c r="H27">
        <v>23575</v>
      </c>
      <c r="I27" s="2">
        <f t="shared" si="0"/>
        <v>9.2518349472645409E-2</v>
      </c>
      <c r="J27" s="2">
        <f t="shared" si="1"/>
        <v>37.671261930010601</v>
      </c>
      <c r="K27" s="1">
        <f t="shared" si="2"/>
        <v>0.99907567167858025</v>
      </c>
      <c r="L27" s="1">
        <f t="shared" si="3"/>
        <v>0.72636800591570128</v>
      </c>
    </row>
    <row r="28" spans="1:12" x14ac:dyDescent="0.35">
      <c r="A28" t="s">
        <v>39</v>
      </c>
      <c r="B28">
        <v>7</v>
      </c>
      <c r="C28" t="s">
        <v>28</v>
      </c>
      <c r="D28" t="s">
        <v>21</v>
      </c>
      <c r="E28" t="s">
        <v>20</v>
      </c>
      <c r="F28">
        <v>24660</v>
      </c>
      <c r="G28">
        <v>17533</v>
      </c>
      <c r="H28">
        <v>14592</v>
      </c>
      <c r="I28" s="2">
        <f t="shared" si="0"/>
        <v>40.649061769235153</v>
      </c>
      <c r="J28" s="2">
        <f t="shared" si="1"/>
        <v>68.99671052631578</v>
      </c>
      <c r="K28" s="1">
        <f t="shared" si="2"/>
        <v>0.71098945660989454</v>
      </c>
      <c r="L28" s="1">
        <f t="shared" si="3"/>
        <v>0.59172749391727497</v>
      </c>
    </row>
    <row r="29" spans="1:12" x14ac:dyDescent="0.35">
      <c r="A29" t="s">
        <v>39</v>
      </c>
      <c r="B29">
        <v>7</v>
      </c>
      <c r="C29" t="s">
        <v>28</v>
      </c>
      <c r="D29" t="s">
        <v>22</v>
      </c>
      <c r="E29" t="s">
        <v>20</v>
      </c>
      <c r="F29">
        <v>32059</v>
      </c>
      <c r="G29">
        <v>32122</v>
      </c>
      <c r="H29">
        <v>25381</v>
      </c>
      <c r="I29" s="2">
        <f t="shared" si="0"/>
        <v>-0.19612726480293879</v>
      </c>
      <c r="J29" s="2">
        <f t="shared" si="1"/>
        <v>26.311020054371383</v>
      </c>
      <c r="K29" s="1">
        <f t="shared" si="2"/>
        <v>1.0019651267974672</v>
      </c>
      <c r="L29" s="1">
        <f t="shared" si="3"/>
        <v>0.79169655946847994</v>
      </c>
    </row>
    <row r="30" spans="1:12" x14ac:dyDescent="0.35">
      <c r="A30" t="s">
        <v>40</v>
      </c>
      <c r="B30">
        <v>8</v>
      </c>
      <c r="C30" t="s">
        <v>8</v>
      </c>
      <c r="D30" t="s">
        <v>21</v>
      </c>
      <c r="E30" t="s">
        <v>19</v>
      </c>
      <c r="F30">
        <v>22123</v>
      </c>
      <c r="G30">
        <v>12728</v>
      </c>
      <c r="H30">
        <v>12021</v>
      </c>
      <c r="I30" s="2">
        <f t="shared" si="0"/>
        <v>73.813639220615968</v>
      </c>
      <c r="J30" s="2">
        <f t="shared" si="1"/>
        <v>84.036269861076448</v>
      </c>
      <c r="K30" s="1">
        <f t="shared" si="2"/>
        <v>0.57532884328526868</v>
      </c>
      <c r="L30" s="1">
        <f t="shared" si="3"/>
        <v>0.54337115219454868</v>
      </c>
    </row>
    <row r="31" spans="1:12" x14ac:dyDescent="0.35">
      <c r="A31" t="s">
        <v>40</v>
      </c>
      <c r="B31">
        <v>8</v>
      </c>
      <c r="C31" t="s">
        <v>8</v>
      </c>
      <c r="D31" t="s">
        <v>22</v>
      </c>
      <c r="E31" t="s">
        <v>19</v>
      </c>
      <c r="F31">
        <v>42824</v>
      </c>
      <c r="G31">
        <v>42856</v>
      </c>
      <c r="H31">
        <v>30604</v>
      </c>
      <c r="I31" s="2">
        <f t="shared" si="0"/>
        <v>-7.4668657830875493E-2</v>
      </c>
      <c r="J31" s="2">
        <f t="shared" si="1"/>
        <v>39.929420990720168</v>
      </c>
      <c r="K31" s="1">
        <f t="shared" si="2"/>
        <v>1.0007472445357743</v>
      </c>
      <c r="L31" s="1">
        <f t="shared" si="3"/>
        <v>0.71464599290117692</v>
      </c>
    </row>
    <row r="32" spans="1:12" x14ac:dyDescent="0.35">
      <c r="A32" t="s">
        <v>40</v>
      </c>
      <c r="B32">
        <v>8</v>
      </c>
      <c r="C32" t="s">
        <v>8</v>
      </c>
      <c r="D32" t="s">
        <v>21</v>
      </c>
      <c r="E32" t="s">
        <v>20</v>
      </c>
      <c r="F32">
        <v>28551</v>
      </c>
      <c r="G32">
        <v>20055</v>
      </c>
      <c r="H32">
        <v>15006</v>
      </c>
      <c r="I32" s="2">
        <f t="shared" si="0"/>
        <v>42.363500373971583</v>
      </c>
      <c r="J32" s="2">
        <f t="shared" si="1"/>
        <v>90.263894442223119</v>
      </c>
      <c r="K32" s="1">
        <f t="shared" si="2"/>
        <v>0.7024272354733635</v>
      </c>
      <c r="L32" s="1">
        <f t="shared" si="3"/>
        <v>0.5255857938425974</v>
      </c>
    </row>
    <row r="33" spans="1:12" x14ac:dyDescent="0.35">
      <c r="A33" t="s">
        <v>40</v>
      </c>
      <c r="B33">
        <v>8</v>
      </c>
      <c r="C33" t="s">
        <v>8</v>
      </c>
      <c r="D33" t="s">
        <v>22</v>
      </c>
      <c r="E33" t="s">
        <v>20</v>
      </c>
      <c r="F33">
        <v>47129</v>
      </c>
      <c r="G33">
        <v>47024</v>
      </c>
      <c r="H33">
        <v>34902</v>
      </c>
      <c r="I33" s="2">
        <f t="shared" si="0"/>
        <v>0.22329023477373255</v>
      </c>
      <c r="J33" s="2">
        <f t="shared" si="1"/>
        <v>35.032376368116438</v>
      </c>
      <c r="K33" s="1">
        <f t="shared" si="2"/>
        <v>0.99777207239703791</v>
      </c>
      <c r="L33" s="1">
        <f t="shared" si="3"/>
        <v>0.74056313522459627</v>
      </c>
    </row>
    <row r="34" spans="1:12" x14ac:dyDescent="0.35">
      <c r="A34" t="s">
        <v>42</v>
      </c>
      <c r="B34">
        <v>9</v>
      </c>
      <c r="C34" t="s">
        <v>29</v>
      </c>
      <c r="D34" t="s">
        <v>21</v>
      </c>
      <c r="E34" t="s">
        <v>19</v>
      </c>
      <c r="F34">
        <v>171442</v>
      </c>
      <c r="G34">
        <v>111331</v>
      </c>
      <c r="H34">
        <v>88839</v>
      </c>
      <c r="I34" s="2">
        <f t="shared" si="0"/>
        <v>53.993047758485957</v>
      </c>
      <c r="J34" s="2">
        <f t="shared" si="1"/>
        <v>92.980560339490538</v>
      </c>
      <c r="K34" s="1">
        <f t="shared" si="2"/>
        <v>0.64937996523605646</v>
      </c>
      <c r="L34" s="1">
        <f t="shared" si="3"/>
        <v>0.51818690869215245</v>
      </c>
    </row>
    <row r="35" spans="1:12" x14ac:dyDescent="0.35">
      <c r="A35" t="s">
        <v>42</v>
      </c>
      <c r="B35">
        <v>9</v>
      </c>
      <c r="C35" t="s">
        <v>29</v>
      </c>
      <c r="D35" t="s">
        <v>22</v>
      </c>
      <c r="E35" t="s">
        <v>19</v>
      </c>
      <c r="F35">
        <v>55541</v>
      </c>
      <c r="G35">
        <v>55896</v>
      </c>
      <c r="H35">
        <v>39998</v>
      </c>
      <c r="I35" s="2">
        <f t="shared" si="0"/>
        <v>-0.63510805782166879</v>
      </c>
      <c r="J35" s="2">
        <f t="shared" si="1"/>
        <v>38.859442972148607</v>
      </c>
      <c r="K35" s="1">
        <f t="shared" si="2"/>
        <v>1.00639167461875</v>
      </c>
      <c r="L35" s="1">
        <f t="shared" si="3"/>
        <v>0.72015268000216059</v>
      </c>
    </row>
    <row r="36" spans="1:12" x14ac:dyDescent="0.35">
      <c r="A36" t="s">
        <v>42</v>
      </c>
      <c r="B36">
        <v>9</v>
      </c>
      <c r="C36" t="s">
        <v>29</v>
      </c>
      <c r="D36" t="s">
        <v>21</v>
      </c>
      <c r="E36" t="s">
        <v>20</v>
      </c>
      <c r="F36">
        <v>197143</v>
      </c>
      <c r="G36">
        <v>149665</v>
      </c>
      <c r="H36">
        <v>113022</v>
      </c>
      <c r="I36" s="2">
        <f t="shared" si="0"/>
        <v>31.722847693181439</v>
      </c>
      <c r="J36" s="2">
        <f t="shared" si="1"/>
        <v>74.428872254959217</v>
      </c>
      <c r="K36" s="1">
        <f t="shared" si="2"/>
        <v>0.75916973973207269</v>
      </c>
      <c r="L36" s="1">
        <f t="shared" si="3"/>
        <v>0.57329958456551844</v>
      </c>
    </row>
    <row r="37" spans="1:12" x14ac:dyDescent="0.35">
      <c r="A37" t="s">
        <v>42</v>
      </c>
      <c r="B37">
        <v>9</v>
      </c>
      <c r="C37" t="s">
        <v>29</v>
      </c>
      <c r="D37" t="s">
        <v>22</v>
      </c>
      <c r="E37" t="s">
        <v>20</v>
      </c>
      <c r="F37">
        <v>51844</v>
      </c>
      <c r="G37">
        <v>52188</v>
      </c>
      <c r="H37">
        <v>35686</v>
      </c>
      <c r="I37" s="2">
        <f t="shared" si="0"/>
        <v>-0.65915536138575914</v>
      </c>
      <c r="J37" s="2">
        <f t="shared" si="1"/>
        <v>45.278260382222719</v>
      </c>
      <c r="K37" s="1">
        <f t="shared" si="2"/>
        <v>1.0066352904868452</v>
      </c>
      <c r="L37" s="1">
        <f t="shared" si="3"/>
        <v>0.68833423346963973</v>
      </c>
    </row>
    <row r="38" spans="1:12" x14ac:dyDescent="0.35">
      <c r="A38" t="s">
        <v>43</v>
      </c>
      <c r="B38">
        <v>10</v>
      </c>
      <c r="C38" t="s">
        <v>9</v>
      </c>
      <c r="D38" t="s">
        <v>21</v>
      </c>
      <c r="E38" t="s">
        <v>19</v>
      </c>
      <c r="F38">
        <v>84956</v>
      </c>
      <c r="G38">
        <v>62462</v>
      </c>
      <c r="H38">
        <v>48805</v>
      </c>
      <c r="I38" s="2">
        <f t="shared" si="0"/>
        <v>36.012295475649189</v>
      </c>
      <c r="J38" s="2">
        <f t="shared" si="1"/>
        <v>74.072328654850935</v>
      </c>
      <c r="K38" s="1">
        <f t="shared" si="2"/>
        <v>0.73522764725269552</v>
      </c>
      <c r="L38" s="1">
        <f t="shared" si="3"/>
        <v>0.57447384528461787</v>
      </c>
    </row>
    <row r="39" spans="1:12" x14ac:dyDescent="0.35">
      <c r="A39" t="s">
        <v>43</v>
      </c>
      <c r="B39">
        <v>10</v>
      </c>
      <c r="C39" t="s">
        <v>9</v>
      </c>
      <c r="D39" t="s">
        <v>22</v>
      </c>
      <c r="E39" t="s">
        <v>19</v>
      </c>
      <c r="F39">
        <v>43955</v>
      </c>
      <c r="G39">
        <v>43889</v>
      </c>
      <c r="H39">
        <v>29756</v>
      </c>
      <c r="I39" s="2">
        <f t="shared" si="0"/>
        <v>0.15037936612818703</v>
      </c>
      <c r="J39" s="2">
        <f t="shared" si="1"/>
        <v>47.718107272482861</v>
      </c>
      <c r="K39" s="1">
        <f t="shared" si="2"/>
        <v>0.99849846433852807</v>
      </c>
      <c r="L39" s="1">
        <f t="shared" si="3"/>
        <v>0.67696507792060057</v>
      </c>
    </row>
    <row r="40" spans="1:12" x14ac:dyDescent="0.35">
      <c r="A40" t="s">
        <v>43</v>
      </c>
      <c r="B40">
        <v>10</v>
      </c>
      <c r="C40" t="s">
        <v>9</v>
      </c>
      <c r="D40" t="s">
        <v>21</v>
      </c>
      <c r="E40" t="s">
        <v>20</v>
      </c>
      <c r="F40">
        <v>126768</v>
      </c>
      <c r="G40">
        <v>96175</v>
      </c>
      <c r="H40">
        <v>79301</v>
      </c>
      <c r="I40" s="2">
        <f t="shared" si="0"/>
        <v>31.809721861190539</v>
      </c>
      <c r="J40" s="2">
        <f t="shared" si="1"/>
        <v>59.85674833860859</v>
      </c>
      <c r="K40" s="1">
        <f t="shared" si="2"/>
        <v>0.75866938028524544</v>
      </c>
      <c r="L40" s="1">
        <f t="shared" si="3"/>
        <v>0.62556007825318694</v>
      </c>
    </row>
    <row r="41" spans="1:12" x14ac:dyDescent="0.35">
      <c r="A41" t="s">
        <v>43</v>
      </c>
      <c r="B41">
        <v>10</v>
      </c>
      <c r="C41" t="s">
        <v>9</v>
      </c>
      <c r="D41" t="s">
        <v>22</v>
      </c>
      <c r="E41" t="s">
        <v>20</v>
      </c>
      <c r="F41">
        <v>55074</v>
      </c>
      <c r="G41">
        <v>55208</v>
      </c>
      <c r="H41">
        <v>38873</v>
      </c>
      <c r="I41" s="2">
        <f t="shared" si="0"/>
        <v>-0.24271844660194172</v>
      </c>
      <c r="J41" s="2">
        <f t="shared" si="1"/>
        <v>41.676742211817967</v>
      </c>
      <c r="K41" s="1">
        <f t="shared" si="2"/>
        <v>1.002433090024331</v>
      </c>
      <c r="L41" s="1">
        <f t="shared" si="3"/>
        <v>0.70583215310309766</v>
      </c>
    </row>
    <row r="42" spans="1:12" x14ac:dyDescent="0.35">
      <c r="A42" t="s">
        <v>41</v>
      </c>
      <c r="B42">
        <v>11</v>
      </c>
      <c r="C42" t="s">
        <v>10</v>
      </c>
      <c r="D42" t="s">
        <v>21</v>
      </c>
      <c r="E42" t="s">
        <v>19</v>
      </c>
      <c r="F42">
        <v>5108</v>
      </c>
      <c r="G42">
        <v>2138</v>
      </c>
      <c r="H42">
        <v>2388</v>
      </c>
      <c r="I42" s="2">
        <f t="shared" si="0"/>
        <v>138.91487371375118</v>
      </c>
      <c r="J42" s="2">
        <f t="shared" si="1"/>
        <v>113.90284757118927</v>
      </c>
      <c r="K42" s="1">
        <f t="shared" si="2"/>
        <v>0.41855912294440095</v>
      </c>
      <c r="L42" s="1">
        <f t="shared" si="3"/>
        <v>0.46750195771339076</v>
      </c>
    </row>
    <row r="43" spans="1:12" x14ac:dyDescent="0.35">
      <c r="A43" t="s">
        <v>41</v>
      </c>
      <c r="B43">
        <v>11</v>
      </c>
      <c r="C43" t="s">
        <v>10</v>
      </c>
      <c r="D43" t="s">
        <v>22</v>
      </c>
      <c r="E43" t="s">
        <v>19</v>
      </c>
      <c r="F43">
        <v>11966</v>
      </c>
      <c r="G43">
        <v>11961</v>
      </c>
      <c r="H43">
        <v>9515</v>
      </c>
      <c r="I43" s="2">
        <f t="shared" si="0"/>
        <v>4.18025248725023E-2</v>
      </c>
      <c r="J43" s="2">
        <f t="shared" si="1"/>
        <v>25.759327377824487</v>
      </c>
      <c r="K43" s="1">
        <f t="shared" si="2"/>
        <v>0.99958214942336621</v>
      </c>
      <c r="L43" s="1">
        <f t="shared" si="3"/>
        <v>0.79516964733411333</v>
      </c>
    </row>
    <row r="44" spans="1:12" x14ac:dyDescent="0.35">
      <c r="A44" t="s">
        <v>41</v>
      </c>
      <c r="B44">
        <v>11</v>
      </c>
      <c r="C44" t="s">
        <v>10</v>
      </c>
      <c r="D44" t="s">
        <v>21</v>
      </c>
      <c r="E44" t="s">
        <v>20</v>
      </c>
      <c r="F44">
        <v>6225</v>
      </c>
      <c r="G44">
        <v>4044</v>
      </c>
      <c r="H44">
        <v>3333</v>
      </c>
      <c r="I44" s="2">
        <f t="shared" si="0"/>
        <v>53.931750741839771</v>
      </c>
      <c r="J44" s="2">
        <f t="shared" si="1"/>
        <v>86.768676867686764</v>
      </c>
      <c r="K44" s="1">
        <f t="shared" si="2"/>
        <v>0.64963855421686745</v>
      </c>
      <c r="L44" s="1">
        <f t="shared" si="3"/>
        <v>0.53542168674698798</v>
      </c>
    </row>
    <row r="45" spans="1:12" x14ac:dyDescent="0.35">
      <c r="A45" t="s">
        <v>41</v>
      </c>
      <c r="B45">
        <v>11</v>
      </c>
      <c r="C45" t="s">
        <v>10</v>
      </c>
      <c r="D45" t="s">
        <v>22</v>
      </c>
      <c r="E45" t="s">
        <v>20</v>
      </c>
      <c r="F45">
        <v>11196</v>
      </c>
      <c r="G45">
        <v>11242</v>
      </c>
      <c r="H45">
        <v>8989</v>
      </c>
      <c r="I45" s="2">
        <f t="shared" si="0"/>
        <v>-0.40917986123465577</v>
      </c>
      <c r="J45" s="2">
        <f t="shared" si="1"/>
        <v>24.552230503949271</v>
      </c>
      <c r="K45" s="1">
        <f t="shared" si="2"/>
        <v>1.0041086102179351</v>
      </c>
      <c r="L45" s="1">
        <f t="shared" si="3"/>
        <v>0.80287602715255446</v>
      </c>
    </row>
    <row r="46" spans="1:12" x14ac:dyDescent="0.35">
      <c r="A46" t="s">
        <v>31</v>
      </c>
      <c r="B46">
        <v>12</v>
      </c>
      <c r="C46" t="s">
        <v>11</v>
      </c>
      <c r="D46" t="s">
        <v>21</v>
      </c>
      <c r="E46" t="s">
        <v>19</v>
      </c>
      <c r="F46">
        <v>15852</v>
      </c>
      <c r="G46">
        <v>8522</v>
      </c>
      <c r="H46">
        <v>7679</v>
      </c>
      <c r="I46" s="2">
        <f t="shared" si="0"/>
        <v>86.01267308143629</v>
      </c>
      <c r="J46" s="2">
        <f t="shared" si="1"/>
        <v>106.43312931371271</v>
      </c>
      <c r="K46" s="1">
        <f t="shared" si="2"/>
        <v>0.53759777946000509</v>
      </c>
      <c r="L46" s="1">
        <f t="shared" si="3"/>
        <v>0.48441836992177645</v>
      </c>
    </row>
    <row r="47" spans="1:12" x14ac:dyDescent="0.35">
      <c r="A47" t="s">
        <v>31</v>
      </c>
      <c r="B47">
        <v>12</v>
      </c>
      <c r="C47" t="s">
        <v>11</v>
      </c>
      <c r="D47" t="s">
        <v>22</v>
      </c>
      <c r="E47" t="s">
        <v>19</v>
      </c>
      <c r="F47">
        <v>18191</v>
      </c>
      <c r="G47">
        <v>18180</v>
      </c>
      <c r="H47">
        <v>12310</v>
      </c>
      <c r="I47" s="2">
        <f t="shared" si="0"/>
        <v>6.0506050605060507E-2</v>
      </c>
      <c r="J47" s="2">
        <f t="shared" si="1"/>
        <v>47.77416734362307</v>
      </c>
      <c r="K47" s="1">
        <f t="shared" si="2"/>
        <v>0.9993953053707878</v>
      </c>
      <c r="L47" s="1">
        <f t="shared" si="3"/>
        <v>0.67670826232752457</v>
      </c>
    </row>
    <row r="48" spans="1:12" x14ac:dyDescent="0.35">
      <c r="A48" t="s">
        <v>31</v>
      </c>
      <c r="B48">
        <v>12</v>
      </c>
      <c r="C48" t="s">
        <v>11</v>
      </c>
      <c r="D48" t="s">
        <v>21</v>
      </c>
      <c r="E48" t="s">
        <v>20</v>
      </c>
      <c r="F48">
        <v>25547</v>
      </c>
      <c r="G48">
        <v>19719</v>
      </c>
      <c r="H48">
        <v>16789</v>
      </c>
      <c r="I48" s="2">
        <f t="shared" si="0"/>
        <v>29.555251280490896</v>
      </c>
      <c r="J48" s="2">
        <f t="shared" si="1"/>
        <v>52.165108106498302</v>
      </c>
      <c r="K48" s="1">
        <f t="shared" si="2"/>
        <v>0.77187145261674561</v>
      </c>
      <c r="L48" s="1">
        <f t="shared" si="3"/>
        <v>0.65718088229537719</v>
      </c>
    </row>
    <row r="49" spans="1:12" x14ac:dyDescent="0.35">
      <c r="A49" t="s">
        <v>31</v>
      </c>
      <c r="B49">
        <v>12</v>
      </c>
      <c r="C49" t="s">
        <v>11</v>
      </c>
      <c r="D49" t="s">
        <v>22</v>
      </c>
      <c r="E49" t="s">
        <v>20</v>
      </c>
      <c r="F49">
        <v>21332</v>
      </c>
      <c r="G49">
        <v>21431</v>
      </c>
      <c r="H49">
        <v>15971</v>
      </c>
      <c r="I49" s="2">
        <f t="shared" si="0"/>
        <v>-0.46194764593346083</v>
      </c>
      <c r="J49" s="2">
        <f t="shared" si="1"/>
        <v>33.567090351261662</v>
      </c>
      <c r="K49" s="1">
        <f t="shared" si="2"/>
        <v>1.0046409150571911</v>
      </c>
      <c r="L49" s="1">
        <f t="shared" si="3"/>
        <v>0.7486874179636227</v>
      </c>
    </row>
    <row r="50" spans="1:12" x14ac:dyDescent="0.35">
      <c r="A50" t="s">
        <v>38</v>
      </c>
      <c r="B50">
        <v>13</v>
      </c>
      <c r="C50" t="s">
        <v>12</v>
      </c>
      <c r="D50" t="s">
        <v>21</v>
      </c>
      <c r="E50" t="s">
        <v>19</v>
      </c>
      <c r="F50">
        <v>129015</v>
      </c>
      <c r="G50">
        <v>89923</v>
      </c>
      <c r="H50">
        <v>70569</v>
      </c>
      <c r="I50" s="2">
        <f t="shared" si="0"/>
        <v>43.472748907398554</v>
      </c>
      <c r="J50" s="2">
        <f t="shared" si="1"/>
        <v>82.821068741231983</v>
      </c>
      <c r="K50" s="1">
        <f t="shared" si="2"/>
        <v>0.69699647327830094</v>
      </c>
      <c r="L50" s="1">
        <f t="shared" si="3"/>
        <v>0.54698290896407398</v>
      </c>
    </row>
    <row r="51" spans="1:12" x14ac:dyDescent="0.35">
      <c r="A51" t="s">
        <v>38</v>
      </c>
      <c r="B51">
        <v>13</v>
      </c>
      <c r="C51" t="s">
        <v>12</v>
      </c>
      <c r="D51" t="s">
        <v>22</v>
      </c>
      <c r="E51" t="s">
        <v>19</v>
      </c>
      <c r="F51">
        <v>105348</v>
      </c>
      <c r="G51">
        <v>106003</v>
      </c>
      <c r="H51">
        <v>78600</v>
      </c>
      <c r="I51" s="2">
        <f t="shared" si="0"/>
        <v>-0.61790704036678201</v>
      </c>
      <c r="J51" s="2">
        <f t="shared" si="1"/>
        <v>34.030534351145036</v>
      </c>
      <c r="K51" s="1">
        <f t="shared" si="2"/>
        <v>1.0062174887041044</v>
      </c>
      <c r="L51" s="1">
        <f t="shared" si="3"/>
        <v>0.74609864449253904</v>
      </c>
    </row>
    <row r="52" spans="1:12" x14ac:dyDescent="0.35">
      <c r="A52" t="s">
        <v>38</v>
      </c>
      <c r="B52">
        <v>13</v>
      </c>
      <c r="C52" t="s">
        <v>12</v>
      </c>
      <c r="D52" t="s">
        <v>21</v>
      </c>
      <c r="E52" t="s">
        <v>20</v>
      </c>
      <c r="F52">
        <v>161784</v>
      </c>
      <c r="G52">
        <v>121090</v>
      </c>
      <c r="H52">
        <v>98870</v>
      </c>
      <c r="I52" s="2">
        <f t="shared" si="0"/>
        <v>33.606408456519944</v>
      </c>
      <c r="J52" s="2">
        <f t="shared" si="1"/>
        <v>63.633053504602003</v>
      </c>
      <c r="K52" s="1">
        <f t="shared" si="2"/>
        <v>0.7484670919250358</v>
      </c>
      <c r="L52" s="1">
        <f t="shared" si="3"/>
        <v>0.61112347327300598</v>
      </c>
    </row>
    <row r="53" spans="1:12" x14ac:dyDescent="0.35">
      <c r="A53" t="s">
        <v>38</v>
      </c>
      <c r="B53">
        <v>13</v>
      </c>
      <c r="C53" t="s">
        <v>12</v>
      </c>
      <c r="D53" t="s">
        <v>22</v>
      </c>
      <c r="E53" t="s">
        <v>20</v>
      </c>
      <c r="F53">
        <v>89383</v>
      </c>
      <c r="G53">
        <v>89702</v>
      </c>
      <c r="H53">
        <v>62546</v>
      </c>
      <c r="I53" s="2">
        <f t="shared" si="0"/>
        <v>-0.35562194822857907</v>
      </c>
      <c r="J53" s="2">
        <f t="shared" si="1"/>
        <v>42.907619991686119</v>
      </c>
      <c r="K53" s="1">
        <f t="shared" si="2"/>
        <v>1.0035689113142321</v>
      </c>
      <c r="L53" s="1">
        <f t="shared" si="3"/>
        <v>0.69975274940424914</v>
      </c>
    </row>
    <row r="54" spans="1:12" x14ac:dyDescent="0.35">
      <c r="A54" t="s">
        <v>46</v>
      </c>
      <c r="B54">
        <v>14</v>
      </c>
      <c r="C54" t="s">
        <v>13</v>
      </c>
      <c r="D54" t="s">
        <v>21</v>
      </c>
      <c r="E54" t="s">
        <v>19</v>
      </c>
      <c r="F54">
        <v>23242</v>
      </c>
      <c r="G54">
        <v>12837</v>
      </c>
      <c r="H54">
        <v>12267</v>
      </c>
      <c r="I54" s="2">
        <f t="shared" si="0"/>
        <v>81.054763574043776</v>
      </c>
      <c r="J54" s="2">
        <f t="shared" si="1"/>
        <v>89.467677508763344</v>
      </c>
      <c r="K54" s="1">
        <f t="shared" si="2"/>
        <v>0.552319077532054</v>
      </c>
      <c r="L54" s="1">
        <f t="shared" si="3"/>
        <v>0.52779450993890376</v>
      </c>
    </row>
    <row r="55" spans="1:12" x14ac:dyDescent="0.35">
      <c r="A55" t="s">
        <v>46</v>
      </c>
      <c r="B55">
        <v>14</v>
      </c>
      <c r="C55" t="s">
        <v>13</v>
      </c>
      <c r="D55" t="s">
        <v>22</v>
      </c>
      <c r="E55" t="s">
        <v>19</v>
      </c>
      <c r="F55">
        <v>18228</v>
      </c>
      <c r="G55">
        <v>18106</v>
      </c>
      <c r="H55">
        <v>12239</v>
      </c>
      <c r="I55" s="2">
        <f t="shared" si="0"/>
        <v>0.6738097868110019</v>
      </c>
      <c r="J55" s="2">
        <f t="shared" si="1"/>
        <v>48.933736416373883</v>
      </c>
      <c r="K55" s="1">
        <f t="shared" si="2"/>
        <v>0.99330700021944263</v>
      </c>
      <c r="L55" s="1">
        <f t="shared" si="3"/>
        <v>0.6714395435593592</v>
      </c>
    </row>
    <row r="56" spans="1:12" x14ac:dyDescent="0.35">
      <c r="A56" t="s">
        <v>46</v>
      </c>
      <c r="B56">
        <v>14</v>
      </c>
      <c r="C56" t="s">
        <v>13</v>
      </c>
      <c r="D56" t="s">
        <v>21</v>
      </c>
      <c r="E56" t="s">
        <v>20</v>
      </c>
      <c r="F56">
        <v>31686</v>
      </c>
      <c r="G56">
        <v>24541</v>
      </c>
      <c r="H56">
        <v>19121</v>
      </c>
      <c r="I56" s="2">
        <f t="shared" si="0"/>
        <v>29.114543009657307</v>
      </c>
      <c r="J56" s="2">
        <f t="shared" si="1"/>
        <v>65.713090319543952</v>
      </c>
      <c r="K56" s="1">
        <f t="shared" si="2"/>
        <v>0.77450609101811529</v>
      </c>
      <c r="L56" s="1">
        <f t="shared" si="3"/>
        <v>0.60345262892129015</v>
      </c>
    </row>
    <row r="57" spans="1:12" x14ac:dyDescent="0.35">
      <c r="A57" t="s">
        <v>46</v>
      </c>
      <c r="B57">
        <v>14</v>
      </c>
      <c r="C57" t="s">
        <v>13</v>
      </c>
      <c r="D57" t="s">
        <v>22</v>
      </c>
      <c r="E57" t="s">
        <v>20</v>
      </c>
      <c r="F57">
        <v>19404</v>
      </c>
      <c r="G57">
        <v>19335</v>
      </c>
      <c r="H57">
        <v>13717</v>
      </c>
      <c r="I57" s="2">
        <f t="shared" si="0"/>
        <v>0.35686578743211789</v>
      </c>
      <c r="J57" s="2">
        <f t="shared" si="1"/>
        <v>41.459502806736168</v>
      </c>
      <c r="K57" s="1">
        <f t="shared" si="2"/>
        <v>0.99644403215831789</v>
      </c>
      <c r="L57" s="1">
        <f t="shared" si="3"/>
        <v>0.70691609977324266</v>
      </c>
    </row>
    <row r="58" spans="1:12" x14ac:dyDescent="0.35">
      <c r="A58" t="s">
        <v>35</v>
      </c>
      <c r="B58">
        <v>15</v>
      </c>
      <c r="C58" t="s">
        <v>14</v>
      </c>
      <c r="D58" t="s">
        <v>21</v>
      </c>
      <c r="E58" t="s">
        <v>19</v>
      </c>
      <c r="F58">
        <v>7563</v>
      </c>
      <c r="G58">
        <v>5196</v>
      </c>
      <c r="H58">
        <v>4309</v>
      </c>
      <c r="I58" s="2">
        <f t="shared" si="0"/>
        <v>45.554272517321017</v>
      </c>
      <c r="J58" s="2">
        <f t="shared" si="1"/>
        <v>75.516361104664654</v>
      </c>
      <c r="K58" s="1">
        <f t="shared" si="2"/>
        <v>0.6870289567631892</v>
      </c>
      <c r="L58" s="1">
        <f t="shared" si="3"/>
        <v>0.56974745471373789</v>
      </c>
    </row>
    <row r="59" spans="1:12" x14ac:dyDescent="0.35">
      <c r="A59" t="s">
        <v>35</v>
      </c>
      <c r="B59">
        <v>15</v>
      </c>
      <c r="C59" t="s">
        <v>14</v>
      </c>
      <c r="D59" t="s">
        <v>22</v>
      </c>
      <c r="E59" t="s">
        <v>19</v>
      </c>
      <c r="F59">
        <v>8217</v>
      </c>
      <c r="G59">
        <v>8160</v>
      </c>
      <c r="H59">
        <v>5684</v>
      </c>
      <c r="I59" s="2">
        <f t="shared" si="0"/>
        <v>0.69852941176470595</v>
      </c>
      <c r="J59" s="2">
        <f t="shared" si="1"/>
        <v>44.563687543983107</v>
      </c>
      <c r="K59" s="1">
        <f t="shared" si="2"/>
        <v>0.99306316173786058</v>
      </c>
      <c r="L59" s="1">
        <f t="shared" si="3"/>
        <v>0.69173664354387243</v>
      </c>
    </row>
    <row r="60" spans="1:12" x14ac:dyDescent="0.35">
      <c r="A60" t="s">
        <v>35</v>
      </c>
      <c r="B60">
        <v>15</v>
      </c>
      <c r="C60" t="s">
        <v>14</v>
      </c>
      <c r="D60" t="s">
        <v>21</v>
      </c>
      <c r="E60" t="s">
        <v>20</v>
      </c>
      <c r="F60">
        <v>10298</v>
      </c>
      <c r="G60">
        <v>8336</v>
      </c>
      <c r="H60">
        <v>6232</v>
      </c>
      <c r="I60" s="2">
        <f t="shared" si="0"/>
        <v>23.536468330134358</v>
      </c>
      <c r="J60" s="2">
        <f t="shared" si="1"/>
        <v>65.243902439024396</v>
      </c>
      <c r="K60" s="1">
        <f t="shared" si="2"/>
        <v>0.80947756845989516</v>
      </c>
      <c r="L60" s="1">
        <f t="shared" si="3"/>
        <v>0.60516605166051662</v>
      </c>
    </row>
    <row r="61" spans="1:12" x14ac:dyDescent="0.35">
      <c r="A61" t="s">
        <v>35</v>
      </c>
      <c r="B61">
        <v>15</v>
      </c>
      <c r="C61" t="s">
        <v>14</v>
      </c>
      <c r="D61" t="s">
        <v>22</v>
      </c>
      <c r="E61" t="s">
        <v>20</v>
      </c>
      <c r="F61">
        <v>8657</v>
      </c>
      <c r="G61">
        <v>8616</v>
      </c>
      <c r="H61">
        <v>5942</v>
      </c>
      <c r="I61" s="2">
        <f t="shared" si="0"/>
        <v>0.47585886722376969</v>
      </c>
      <c r="J61" s="2">
        <f t="shared" si="1"/>
        <v>45.691686300908785</v>
      </c>
      <c r="K61" s="1">
        <f t="shared" si="2"/>
        <v>0.99526394824997111</v>
      </c>
      <c r="L61" s="1">
        <f t="shared" si="3"/>
        <v>0.68638096338223398</v>
      </c>
    </row>
    <row r="62" spans="1:12" x14ac:dyDescent="0.35">
      <c r="A62" t="s">
        <v>34</v>
      </c>
      <c r="B62">
        <v>16</v>
      </c>
      <c r="C62" t="s">
        <v>30</v>
      </c>
      <c r="D62" t="s">
        <v>21</v>
      </c>
      <c r="E62" t="s">
        <v>19</v>
      </c>
      <c r="F62">
        <v>20542</v>
      </c>
      <c r="G62">
        <v>13425</v>
      </c>
      <c r="H62">
        <v>11652</v>
      </c>
      <c r="I62" s="2">
        <f t="shared" si="0"/>
        <v>53.013035381750463</v>
      </c>
      <c r="J62" s="2">
        <f t="shared" si="1"/>
        <v>76.295914864400956</v>
      </c>
      <c r="K62" s="1">
        <f t="shared" si="2"/>
        <v>0.65353909064355953</v>
      </c>
      <c r="L62" s="1">
        <f t="shared" si="3"/>
        <v>0.5672281180021419</v>
      </c>
    </row>
    <row r="63" spans="1:12" x14ac:dyDescent="0.35">
      <c r="A63" t="s">
        <v>34</v>
      </c>
      <c r="B63">
        <v>16</v>
      </c>
      <c r="C63" t="s">
        <v>30</v>
      </c>
      <c r="D63" t="s">
        <v>22</v>
      </c>
      <c r="E63" t="s">
        <v>19</v>
      </c>
      <c r="F63">
        <v>19835</v>
      </c>
      <c r="G63">
        <v>19989</v>
      </c>
      <c r="H63">
        <v>15365</v>
      </c>
      <c r="I63" s="2">
        <f t="shared" si="0"/>
        <v>-0.77042373305317924</v>
      </c>
      <c r="J63" s="2">
        <f t="shared" si="1"/>
        <v>29.092092417832738</v>
      </c>
      <c r="K63" s="1">
        <f t="shared" si="2"/>
        <v>1.0077640534408874</v>
      </c>
      <c r="L63" s="1">
        <f t="shared" si="3"/>
        <v>0.77464078648853041</v>
      </c>
    </row>
    <row r="64" spans="1:12" x14ac:dyDescent="0.35">
      <c r="A64" t="s">
        <v>34</v>
      </c>
      <c r="B64">
        <v>16</v>
      </c>
      <c r="C64" t="s">
        <v>30</v>
      </c>
      <c r="D64" t="s">
        <v>21</v>
      </c>
      <c r="E64" t="s">
        <v>20</v>
      </c>
      <c r="F64">
        <v>24047</v>
      </c>
      <c r="G64">
        <v>20547</v>
      </c>
      <c r="H64">
        <v>14257</v>
      </c>
      <c r="I64" s="2">
        <f t="shared" si="0"/>
        <v>17.034116902710856</v>
      </c>
      <c r="J64" s="2">
        <f t="shared" si="1"/>
        <v>68.668022725678611</v>
      </c>
      <c r="K64" s="1">
        <f t="shared" si="2"/>
        <v>0.85445169875660165</v>
      </c>
      <c r="L64" s="1">
        <f t="shared" si="3"/>
        <v>0.59288060880775151</v>
      </c>
    </row>
    <row r="65" spans="1:12" x14ac:dyDescent="0.35">
      <c r="A65" t="s">
        <v>34</v>
      </c>
      <c r="B65">
        <v>16</v>
      </c>
      <c r="C65" t="s">
        <v>30</v>
      </c>
      <c r="D65" t="s">
        <v>22</v>
      </c>
      <c r="E65" t="s">
        <v>20</v>
      </c>
      <c r="F65">
        <v>18696</v>
      </c>
      <c r="G65">
        <v>18758</v>
      </c>
      <c r="H65">
        <v>12644</v>
      </c>
      <c r="I65" s="2">
        <f t="shared" si="0"/>
        <v>-0.33052564239257914</v>
      </c>
      <c r="J65" s="2">
        <f t="shared" si="1"/>
        <v>47.864599810186647</v>
      </c>
      <c r="K65" s="1">
        <f t="shared" si="2"/>
        <v>1.0033162173726999</v>
      </c>
      <c r="L65" s="1">
        <f t="shared" si="3"/>
        <v>0.67629439452289264</v>
      </c>
    </row>
    <row r="66" spans="1:12" x14ac:dyDescent="0.35">
      <c r="A66" t="s">
        <v>36</v>
      </c>
      <c r="B66">
        <v>17</v>
      </c>
      <c r="C66" t="s">
        <v>15</v>
      </c>
      <c r="D66" t="s">
        <v>21</v>
      </c>
      <c r="E66" t="s">
        <v>19</v>
      </c>
      <c r="F66">
        <v>3417</v>
      </c>
      <c r="G66">
        <v>2154</v>
      </c>
      <c r="H66">
        <v>2050</v>
      </c>
      <c r="I66" s="2">
        <f t="shared" si="0"/>
        <v>58.635097493036213</v>
      </c>
      <c r="J66" s="2">
        <f t="shared" si="1"/>
        <v>66.682926829268297</v>
      </c>
      <c r="K66" s="1">
        <f t="shared" si="2"/>
        <v>0.63037752414398596</v>
      </c>
      <c r="L66" s="1">
        <f t="shared" si="3"/>
        <v>0.59994146912496338</v>
      </c>
    </row>
    <row r="67" spans="1:12" x14ac:dyDescent="0.35">
      <c r="A67" t="s">
        <v>36</v>
      </c>
      <c r="B67">
        <v>17</v>
      </c>
      <c r="C67" t="s">
        <v>15</v>
      </c>
      <c r="D67" t="s">
        <v>22</v>
      </c>
      <c r="E67" t="s">
        <v>19</v>
      </c>
      <c r="F67">
        <v>5148</v>
      </c>
      <c r="G67">
        <v>5123</v>
      </c>
      <c r="H67">
        <v>3593</v>
      </c>
      <c r="I67" s="2">
        <f t="shared" ref="I67:I73" si="4">(F67-G67)/G67*100</f>
        <v>0.48799531524497364</v>
      </c>
      <c r="J67" s="2">
        <f t="shared" ref="J67:J73" si="5">(F67-H67)/H67*100</f>
        <v>43.278597272474258</v>
      </c>
      <c r="K67" s="1">
        <f t="shared" ref="K67:K73" si="6">G67/F67</f>
        <v>0.99514374514374515</v>
      </c>
      <c r="L67" s="1">
        <f t="shared" ref="L67:L73" si="7">H67/F67</f>
        <v>0.69794094794094796</v>
      </c>
    </row>
    <row r="68" spans="1:12" x14ac:dyDescent="0.35">
      <c r="A68" t="s">
        <v>36</v>
      </c>
      <c r="B68">
        <v>17</v>
      </c>
      <c r="C68" t="s">
        <v>15</v>
      </c>
      <c r="D68" t="s">
        <v>21</v>
      </c>
      <c r="E68" t="s">
        <v>20</v>
      </c>
      <c r="F68">
        <v>4865</v>
      </c>
      <c r="G68">
        <v>3482</v>
      </c>
      <c r="H68">
        <v>2845</v>
      </c>
      <c r="I68" s="2">
        <f t="shared" si="4"/>
        <v>39.718552556002294</v>
      </c>
      <c r="J68" s="2">
        <f t="shared" si="5"/>
        <v>71.001757469244282</v>
      </c>
      <c r="K68" s="1">
        <f t="shared" si="6"/>
        <v>0.71572456320657762</v>
      </c>
      <c r="L68" s="1">
        <f t="shared" si="7"/>
        <v>0.58478931140801649</v>
      </c>
    </row>
    <row r="69" spans="1:12" x14ac:dyDescent="0.35">
      <c r="A69" t="s">
        <v>36</v>
      </c>
      <c r="B69">
        <v>17</v>
      </c>
      <c r="C69" t="s">
        <v>15</v>
      </c>
      <c r="D69" t="s">
        <v>22</v>
      </c>
      <c r="E69" t="s">
        <v>20</v>
      </c>
      <c r="F69">
        <v>5112</v>
      </c>
      <c r="G69">
        <v>5074</v>
      </c>
      <c r="H69">
        <v>3771</v>
      </c>
      <c r="I69" s="2">
        <f t="shared" si="4"/>
        <v>0.74891604256996458</v>
      </c>
      <c r="J69" s="2">
        <f t="shared" si="5"/>
        <v>35.56085918854415</v>
      </c>
      <c r="K69" s="1">
        <f t="shared" si="6"/>
        <v>0.99256651017214392</v>
      </c>
      <c r="L69" s="1">
        <f t="shared" si="7"/>
        <v>0.73767605633802813</v>
      </c>
    </row>
    <row r="70" spans="1:12" x14ac:dyDescent="0.35">
      <c r="A70" t="s">
        <v>23</v>
      </c>
      <c r="B70" t="s">
        <v>23</v>
      </c>
      <c r="C70" t="s">
        <v>23</v>
      </c>
      <c r="D70" t="s">
        <v>21</v>
      </c>
      <c r="E70" t="s">
        <v>19</v>
      </c>
      <c r="F70">
        <v>693976</v>
      </c>
      <c r="G70">
        <v>451187</v>
      </c>
      <c r="H70">
        <v>379755</v>
      </c>
      <c r="I70" s="2">
        <f t="shared" si="4"/>
        <v>53.811169204786488</v>
      </c>
      <c r="J70" s="2">
        <f t="shared" si="5"/>
        <v>82.743084357019654</v>
      </c>
      <c r="K70" s="1">
        <f t="shared" si="6"/>
        <v>0.6501478437294661</v>
      </c>
      <c r="L70" s="1">
        <f t="shared" si="7"/>
        <v>0.54721633024773186</v>
      </c>
    </row>
    <row r="71" spans="1:12" x14ac:dyDescent="0.35">
      <c r="A71" t="s">
        <v>23</v>
      </c>
      <c r="B71" t="s">
        <v>23</v>
      </c>
      <c r="C71" t="s">
        <v>23</v>
      </c>
      <c r="D71" t="s">
        <v>22</v>
      </c>
      <c r="E71" t="s">
        <v>19</v>
      </c>
      <c r="F71">
        <v>499998</v>
      </c>
      <c r="G71">
        <v>501239</v>
      </c>
      <c r="H71">
        <v>361534</v>
      </c>
      <c r="I71" s="2">
        <f t="shared" si="4"/>
        <v>-0.24758648070082337</v>
      </c>
      <c r="J71" s="2">
        <f t="shared" si="5"/>
        <v>38.299025817765411</v>
      </c>
      <c r="K71" s="1">
        <f t="shared" si="6"/>
        <v>1.0024820099280398</v>
      </c>
      <c r="L71" s="1">
        <f t="shared" si="7"/>
        <v>0.72307089228356913</v>
      </c>
    </row>
    <row r="72" spans="1:12" x14ac:dyDescent="0.35">
      <c r="A72" t="s">
        <v>23</v>
      </c>
      <c r="B72" t="s">
        <v>23</v>
      </c>
      <c r="C72" t="s">
        <v>23</v>
      </c>
      <c r="D72" t="s">
        <v>21</v>
      </c>
      <c r="E72" t="s">
        <v>20</v>
      </c>
      <c r="F72">
        <v>885724</v>
      </c>
      <c r="G72">
        <v>660727</v>
      </c>
      <c r="H72">
        <v>526907</v>
      </c>
      <c r="I72" s="2">
        <f t="shared" si="4"/>
        <v>34.052944710901777</v>
      </c>
      <c r="J72" s="2">
        <f t="shared" si="5"/>
        <v>68.098734691321241</v>
      </c>
      <c r="K72" s="1">
        <f t="shared" si="6"/>
        <v>0.74597391512480182</v>
      </c>
      <c r="L72" s="1">
        <f t="shared" si="7"/>
        <v>0.59488847541672119</v>
      </c>
    </row>
    <row r="73" spans="1:12" x14ac:dyDescent="0.35">
      <c r="A73" t="s">
        <v>23</v>
      </c>
      <c r="B73" t="s">
        <v>23</v>
      </c>
      <c r="C73" t="s">
        <v>23</v>
      </c>
      <c r="D73" t="s">
        <v>22</v>
      </c>
      <c r="E73" t="s">
        <v>20</v>
      </c>
      <c r="F73">
        <v>502307</v>
      </c>
      <c r="G73">
        <v>503643</v>
      </c>
      <c r="H73">
        <v>364645</v>
      </c>
      <c r="I73" s="2">
        <f t="shared" si="4"/>
        <v>-0.26526726272379442</v>
      </c>
      <c r="J73" s="2">
        <f t="shared" si="5"/>
        <v>37.752334462285233</v>
      </c>
      <c r="K73" s="1">
        <f t="shared" si="6"/>
        <v>1.002659728014939</v>
      </c>
      <c r="L73" s="1">
        <f t="shared" si="7"/>
        <v>0.72594051048462394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Data_NUTS2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González Leonardo</cp:lastModifiedBy>
  <dcterms:created xsi:type="dcterms:W3CDTF">2025-01-09T00:48:04Z</dcterms:created>
  <dcterms:modified xsi:type="dcterms:W3CDTF">2025-01-23T03:11:01Z</dcterms:modified>
</cp:coreProperties>
</file>